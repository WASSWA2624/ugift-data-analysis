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1"/>
  </bookViews>
  <sheets>
    <sheet name="Verification &amp; Interview" sheetId="1" r:id="rId1"/>
    <sheet name="Asset Verification Checklist" sheetId="2" r:id="rId2"/>
    <sheet name="Requisition &amp; Issue Vouchers" sheetId="3" r:id="rId3"/>
    <sheet name="Supplier Delivery Note" sheetId="4" r:id="rId4"/>
  </sheets>
  <calcPr fullCalcOnLoad="1" calcId="124519"/>
</workbook>
</file>

<file path=xl/sharedStrings.xml><?xml version="1.0" encoding="utf-8"?>
<sst xmlns="http://schemas.openxmlformats.org/spreadsheetml/2006/main" uniqueCount="319" count="319">
  <si>
    <t>HEALTH CENTRE CHECKLIST - ASSET VERIFICATION SCHEDULE</t>
  </si>
  <si>
    <t>District: Rubirizi District Local Government | Sub-Region: Ankore | Facility: Mushumba H/C II / Mubanda H/C III / Rugazi H/C IV | Date: 27/08/2026</t>
  </si>
  <si>
    <t>Item No.</t>
  </si>
  <si>
    <t>Equipment / Item Description</t>
  </si>
  <si>
    <t>Qty Verified</t>
  </si>
  <si>
    <t>Status / Location / Notes</t>
  </si>
  <si>
    <t>Department</t>
  </si>
  <si>
    <t>Asset Number</t>
  </si>
  <si>
    <t>Item Description (Spec)</t>
  </si>
  <si>
    <t>Life in Months</t>
  </si>
  <si>
    <t>Tag Number (engrave no.)</t>
  </si>
  <si>
    <t>Date of Purchase</t>
  </si>
  <si>
    <t>Date Placed In Service</t>
  </si>
  <si>
    <t>Equipment Status</t>
  </si>
  <si>
    <t>Remarks</t>
  </si>
  <si>
    <t>B.P. Machine, Digital</t>
  </si>
  <si>
    <t>02 in use</t>
  </si>
  <si>
    <t>Outpatient / Ward</t>
  </si>
  <si>
    <t>Digital Blood Pressure Monitor</t>
  </si>
  <si>
    <t>Functional</t>
  </si>
  <si>
    <t>In active use</t>
  </si>
  <si>
    <t>Bowl, Kick</t>
  </si>
  <si>
    <t>01 available</t>
  </si>
  <si>
    <t>General</t>
  </si>
  <si>
    <t>Kick Bowl</t>
  </si>
  <si>
    <t>Available</t>
  </si>
  <si>
    <t>Bowl Stand</t>
  </si>
  <si>
    <t>02 still in store</t>
  </si>
  <si>
    <t>Store</t>
  </si>
  <si>
    <t>Still in store</t>
  </si>
  <si>
    <t>Cupboard Steel, Lockable</t>
  </si>
  <si>
    <t>02 available and in use</t>
  </si>
  <si>
    <t>Store / Clinical</t>
  </si>
  <si>
    <t>Lockable Steel Storage Cabinet</t>
  </si>
  <si>
    <t>Available &amp; in use</t>
  </si>
  <si>
    <t>Examination Light, LED</t>
  </si>
  <si>
    <t>01 in use at facility, 01 taken to Rugazi H/C IV</t>
  </si>
  <si>
    <t>Clinical / OPD</t>
  </si>
  <si>
    <t>LED Examination Light</t>
  </si>
  <si>
    <t>1 at facility; 1 transferred to Rugazi H/C IV</t>
  </si>
  <si>
    <t>Microscope Binocular</t>
  </si>
  <si>
    <t>01 (still in stock). Marked 'Munyo' (exchanged during distribution)</t>
  </si>
  <si>
    <t>Laboratory</t>
  </si>
  <si>
    <t>Binocular Laboratory Microscope</t>
  </si>
  <si>
    <t>Marked Munyonyo; exchanged during distribution</t>
  </si>
  <si>
    <t>Patient Screen</t>
  </si>
  <si>
    <t>02 in stock, 02 in use at OPD ward</t>
  </si>
  <si>
    <t>OPD / Ward</t>
  </si>
  <si>
    <t>Foldable Patient Screen</t>
  </si>
  <si>
    <t>2 in stock; 2 in OPD ward use</t>
  </si>
  <si>
    <t>Stretcher</t>
  </si>
  <si>
    <t>01 taken to Rugazi H/C IV</t>
  </si>
  <si>
    <t>Emergency</t>
  </si>
  <si>
    <t>Patient Transport Stretcher</t>
  </si>
  <si>
    <t>Transferred to Rugazi H/C IV</t>
  </si>
  <si>
    <t>Weighing Scale, Adult (with Height Meter)</t>
  </si>
  <si>
    <t>01 taken to Rugazi H/C IV, 01 still in stock</t>
  </si>
  <si>
    <t>OPD / Triage</t>
  </si>
  <si>
    <t>Adult Mechanical/Digital Scale + Height Rod</t>
  </si>
  <si>
    <t>1 at Rugazi H/C IV; 1 in stock</t>
  </si>
  <si>
    <t>Weighing Scale, Toddler</t>
  </si>
  <si>
    <t>02 available</t>
  </si>
  <si>
    <t>Pediatrics / MCH</t>
  </si>
  <si>
    <t>Toddler Weighing Scale</t>
  </si>
  <si>
    <t>Desk</t>
  </si>
  <si>
    <t>01 (Not delivered)</t>
  </si>
  <si>
    <t>Administration</t>
  </si>
  <si>
    <t>Office Executive/Standard Desk</t>
  </si>
  <si>
    <t>Pending</t>
  </si>
  <si>
    <t>Not delivered</t>
  </si>
  <si>
    <t>Wall Clock</t>
  </si>
  <si>
    <t>01 taken to Butoha H/C III, 01 in use, 02 still in stock</t>
  </si>
  <si>
    <t>General / OPD</t>
  </si>
  <si>
    <t>Standard Wall Clock</t>
  </si>
  <si>
    <t>1 at Butoha H/C III; 1 in use; 2 in stock</t>
  </si>
  <si>
    <t>Diagnostic Equipment Set for IPD</t>
  </si>
  <si>
    <t>01 set taken to Rugazi H/C IV</t>
  </si>
  <si>
    <t>IPD / Ward</t>
  </si>
  <si>
    <t>Diagnostic Set for Inpatient Department</t>
  </si>
  <si>
    <t>Instrument Set, Stitch Removing</t>
  </si>
  <si>
    <t>Minor Theatre / OPD</t>
  </si>
  <si>
    <t>Stitch Removal Instrument Kit</t>
  </si>
  <si>
    <t>Glassware Set, Laboratory, Basic</t>
  </si>
  <si>
    <t>Available (All sets available &amp; in stock)</t>
  </si>
  <si>
    <t>Basic Lab Glassware Set</t>
  </si>
  <si>
    <t>All sets available &amp; in stock</t>
  </si>
  <si>
    <t>Bed, Adult Patient with Mattress</t>
  </si>
  <si>
    <t>Taken to Rugazi H/C IV &amp; Mubanda H/C III / Mushumba H/C IV</t>
  </si>
  <si>
    <t>Inpatient Ward</t>
  </si>
  <si>
    <t>Adult Hospital Bed with Mattress</t>
  </si>
  <si>
    <t>Transferred across Rugazi, Mubanda &amp; Mushumba</t>
  </si>
  <si>
    <t>Bed, Pediatric Patient with Mattress</t>
  </si>
  <si>
    <t>02 to Rugazi H/C IV, 03 to Mubanda / Mushumba (all in use at facility)</t>
  </si>
  <si>
    <t>Pediatric Ward</t>
  </si>
  <si>
    <t>Pediatric Hospital Bed with Mattress</t>
  </si>
  <si>
    <t>2 at Rugazi H/C IV; 3 in use at facility/Mubanda</t>
  </si>
  <si>
    <t>Cupboard, Instrument</t>
  </si>
  <si>
    <t>Clinical / Ward</t>
  </si>
  <si>
    <t>Instrument Storage Cupboard</t>
  </si>
  <si>
    <t>Delivery Bed, Hydraulic Manual</t>
  </si>
  <si>
    <t>01 in use in maternity ward</t>
  </si>
  <si>
    <t>Maternity Ward</t>
  </si>
  <si>
    <t>Hydraulic Manual Delivery Bed</t>
  </si>
  <si>
    <t>Active in Maternity Ward</t>
  </si>
  <si>
    <t>Oxygen Therapy Apparatus, Min 45L Cylinder</t>
  </si>
  <si>
    <t>02 available in stock (Black and White)</t>
  </si>
  <si>
    <t>Maternity / Emergency</t>
  </si>
  <si>
    <t>Oxygen Therapy Cylinder Kit</t>
  </si>
  <si>
    <t>Both available in stock (Black &amp; White)</t>
  </si>
  <si>
    <t>Resuscitator Manual, Infant (all mask sizes)</t>
  </si>
  <si>
    <t>01 available &amp; in use in maternity, 01 taken to Rugazi H/C IV</t>
  </si>
  <si>
    <t>Maternity / Neonatal</t>
  </si>
  <si>
    <t>Infant Resuscitator (Ambu Bag Set)</t>
  </si>
  <si>
    <t>1 in Maternity use; 1 at Rugazi H/C IV</t>
  </si>
  <si>
    <t>Resuscitator, Adult</t>
  </si>
  <si>
    <t>Emergency / Ward</t>
  </si>
  <si>
    <t>Adult Resuscitator Set</t>
  </si>
  <si>
    <t>Nebulizer, Ultrasonic</t>
  </si>
  <si>
    <t>01 still in stock and functional</t>
  </si>
  <si>
    <t>Ultrasonic Nebulizer Machine</t>
  </si>
  <si>
    <t>In stock &amp; fully functional</t>
  </si>
  <si>
    <t>Bench</t>
  </si>
  <si>
    <t>04 available and in use</t>
  </si>
  <si>
    <t>Waiting Area / OPD</t>
  </si>
  <si>
    <t>Patient Waiting Bench</t>
  </si>
  <si>
    <t>All 4 available &amp; in active use</t>
  </si>
  <si>
    <t>Disinfection Buckets</t>
  </si>
  <si>
    <t>02 in use, 04 in stock</t>
  </si>
  <si>
    <t>Sanitation / Wards</t>
  </si>
  <si>
    <t>Medical Disinfection Buckets</t>
  </si>
  <si>
    <t>2 in use; 4 in stock</t>
  </si>
  <si>
    <t>Baby Cot</t>
  </si>
  <si>
    <t>04 in stock, 01 in use</t>
  </si>
  <si>
    <t>Maternity / Nursery</t>
  </si>
  <si>
    <t>Hospital Baby Cot</t>
  </si>
  <si>
    <t>4 in stock; 1 in active use</t>
  </si>
  <si>
    <t>Hollow Ware Set, Ward</t>
  </si>
  <si>
    <t>02 available &amp; in stock, 01 issued to Rugazi H/C IV</t>
  </si>
  <si>
    <t>Ward / General</t>
  </si>
  <si>
    <t>Stainless Steel Hollow Ware Set</t>
  </si>
  <si>
    <t>2 in stock; 1 issued to Rugazi H/C IV</t>
  </si>
  <si>
    <t>Stool, Laboratory</t>
  </si>
  <si>
    <t>01 in use</t>
  </si>
  <si>
    <t>Adjustable Lab Stool</t>
  </si>
  <si>
    <t>Penguin Sucker</t>
  </si>
  <si>
    <t>02 available, 01 issued to Rugazi H/C IV</t>
  </si>
  <si>
    <t>Suction Device (Penguin Sucker)</t>
  </si>
  <si>
    <t>2 available; 1 issued to Rugazi H/C IV</t>
  </si>
  <si>
    <t>Fetoscope, Doppler</t>
  </si>
  <si>
    <t>02 in use at maternity</t>
  </si>
  <si>
    <t>Fetal Doppler Fetoscope</t>
  </si>
  <si>
    <t>Both in active use in Maternity</t>
  </si>
  <si>
    <t>Kangaroo Mother Care Chair</t>
  </si>
  <si>
    <t>Maternity / KMC Unit</t>
  </si>
  <si>
    <t>KMC Reclining Chair</t>
  </si>
  <si>
    <t>Instrument Set, ENT Basic (for HC III)</t>
  </si>
  <si>
    <t>Available in stock</t>
  </si>
  <si>
    <t>ENT / Clinical</t>
  </si>
  <si>
    <t>Basic ENT Instrument Set</t>
  </si>
  <si>
    <t>Bag Valve Mask (Ambu Bag), Neonatal</t>
  </si>
  <si>
    <t>Neonatal Ambu Bag</t>
  </si>
  <si>
    <t>Incubator</t>
  </si>
  <si>
    <t>Neonatal Unit</t>
  </si>
  <si>
    <t>Infant Incubator</t>
  </si>
  <si>
    <t>In stock</t>
  </si>
  <si>
    <t>Office Chair</t>
  </si>
  <si>
    <t>Ergonomic Office Chair</t>
  </si>
  <si>
    <t>TOTAL ASSET ITEMS LOGGED:</t>
  </si>
  <si>
    <t>UGIFT ASSET VERIFICATION AND RECORDING TOOL KIT</t>
  </si>
  <si>
    <t>SK&amp;CO Certified Public Accountants | August to September 2026</t>
  </si>
  <si>
    <t>1. VERIFICATION DETAILS</t>
  </si>
  <si>
    <t>NAME OF THE REGION:</t>
  </si>
  <si>
    <t>Western Region</t>
  </si>
  <si>
    <t>VERIFIER PARTICULARS</t>
  </si>
  <si>
    <t>SUB-REGION:</t>
  </si>
  <si>
    <t>Ankore Sub-Region</t>
  </si>
  <si>
    <t>Full Name:</t>
  </si>
  <si>
    <t>Byaruhanga Jackson Musafiri</t>
  </si>
  <si>
    <t>Name of Local Government:</t>
  </si>
  <si>
    <t>Rubirizi District Local Government</t>
  </si>
  <si>
    <t>Contact / Email / Tel:</t>
  </si>
  <si>
    <t>0704551504 / 0772774370 | jacksonmusafiri2017@gmail.com</t>
  </si>
  <si>
    <t>Name of Health Facility:</t>
  </si>
  <si>
    <t>Mushumba H/C II (Assets recorded at Mubanda H/C III)</t>
  </si>
  <si>
    <t>SUPERVISOR PARTICULARS</t>
  </si>
  <si>
    <t>Date of Verification:</t>
  </si>
  <si>
    <t>27/08/2026 (Thursday)</t>
  </si>
  <si>
    <t>Supervisor / Sub team leader Name:</t>
  </si>
  <si>
    <t>Gumisiriza</t>
  </si>
  <si>
    <t>Date of Submission:</t>
  </si>
  <si>
    <t>27/08/2026</t>
  </si>
  <si>
    <t>Supervisor Contact:</t>
  </si>
  <si>
    <t>N/A</t>
  </si>
  <si>
    <t>2. HEALTH CENTRES INFORMANT INTERVIEW / DISCUSSION GUIDE</t>
  </si>
  <si>
    <t>Q#</t>
  </si>
  <si>
    <t>Discussion Question / Prompt</t>
  </si>
  <si>
    <t>Verification Findings / Observations</t>
  </si>
  <si>
    <t>1a</t>
  </si>
  <si>
    <t>Does the Facility have a record of all assets provided under UgIFT? (Obtain a record and verify if it has the costs and numbers supplied)</t>
  </si>
  <si>
    <t>Yes. Mushumba H/C II received assets provided under UgIFT. However, notes indicate assets were taken/distributed to Mubanda H/C III and Rugazi H/C IV.</t>
  </si>
  <si>
    <t>1b</t>
  </si>
  <si>
    <t>If Not, ask how many were supplied and when.</t>
  </si>
  <si>
    <t>Assets supplied on/around August 2026. Detailed quantities documented in the verification checklist.</t>
  </si>
  <si>
    <t>2</t>
  </si>
  <si>
    <t>How does this facility Maintain (repair/service/replace) the assets provided under UgIFT?</t>
  </si>
  <si>
    <t>Maintenance is coordinated with the district health department and receiving facility administration (Mubanda H/C III &amp; Rugazi H/C IV).</t>
  </si>
  <si>
    <t>3</t>
  </si>
  <si>
    <t>Does the facility take regular record about functionality/ or breakdown of the assets provided?</t>
  </si>
  <si>
    <t>Regular inventory checks are conducted. All items verified were noted as functional and available in stock or actively in use at designated centers.</t>
  </si>
  <si>
    <t>4</t>
  </si>
  <si>
    <t>How has the UgIFT support helped in service delivery in the area, any issues, challenges and any recommendations for better program implementation.</t>
  </si>
  <si>
    <t>Mubanda H/C (and key personnel) expressed that they are very grateful and thankful for the support and supervision of the equipment provided under UgIFT, which has significantly enhanced service delivery.</t>
  </si>
  <si>
    <t>RODRISA SUPPLIES LIMITED - DELIVERY NOTE</t>
  </si>
  <si>
    <t>Supplier Name:</t>
  </si>
  <si>
    <t>RODRISA SUPPLIES LIMITED</t>
  </si>
  <si>
    <t>Delivery Note Ref:</t>
  </si>
  <si>
    <t>RSL/DEL/033/25</t>
  </si>
  <si>
    <t>Specialty:</t>
  </si>
  <si>
    <t>Medical, Laboratory Supplies &amp; Training Models</t>
  </si>
  <si>
    <t>Delivery Date:</t>
  </si>
  <si>
    <t>29/05/2025</t>
  </si>
  <si>
    <t>Contact Tel:</t>
  </si>
  <si>
    <t>+256 782 082923 / +256 701 082923</t>
  </si>
  <si>
    <t>Recipient Entity:</t>
  </si>
  <si>
    <t>RUBIRIZI District Local Government</t>
  </si>
  <si>
    <t>Email / Web:</t>
  </si>
  <si>
    <t>rodrisasltd@gmail.com | www.rodrisasupplies.com</t>
  </si>
  <si>
    <t>Destination Facility:</t>
  </si>
  <si>
    <t>MUSHUMBA HC II</t>
  </si>
  <si>
    <t>Delivered By:</t>
  </si>
  <si>
    <t>Benjamin Baguma (Tel: 0781-676038)</t>
  </si>
  <si>
    <t>Received By:</t>
  </si>
  <si>
    <t>TUMUHAIRWE COSTANCE (TNC)</t>
  </si>
  <si>
    <t>SN</t>
  </si>
  <si>
    <t>Item Description</t>
  </si>
  <si>
    <t>Quantity Delivered</t>
  </si>
  <si>
    <t>Delivery Status / Stamp</t>
  </si>
  <si>
    <t>Remarks / Notes</t>
  </si>
  <si>
    <t>Verified &amp; Received</t>
  </si>
  <si>
    <t>Good condition</t>
  </si>
  <si>
    <t>Examination light, LED</t>
  </si>
  <si>
    <t>Marked 'Munyo' during distribution</t>
  </si>
  <si>
    <t>Weighing Scale, Infant</t>
  </si>
  <si>
    <t>Pending Delivery</t>
  </si>
  <si>
    <t>Noted on physical verification</t>
  </si>
  <si>
    <t>Diagnostic Equipment Set for MCH</t>
  </si>
  <si>
    <t>Diagnostic Equipment Set for OPD</t>
  </si>
  <si>
    <t>Instrument Set, Dressing</t>
  </si>
  <si>
    <t>Instrument Set, Basic ENT</t>
  </si>
  <si>
    <t>Pulse Oximeter, Hand held</t>
  </si>
  <si>
    <t>Bed, Pediatric Patient, With Mattress</t>
  </si>
  <si>
    <t>Oxygen Therapy Apparatus, Minimum 45L cylinder</t>
  </si>
  <si>
    <t>Resuscitator Manual, Infant, with all Mask sizes</t>
  </si>
  <si>
    <t>Resuscitator Manual, Adult, with all mask sizes</t>
  </si>
  <si>
    <t>Oxygen Concentrator, Duo Flow</t>
  </si>
  <si>
    <t>Diagnostic Equipment Set for Ward</t>
  </si>
  <si>
    <t>Instrument Set, Delivery</t>
  </si>
  <si>
    <t>Oxygen Accessories Unit Box</t>
  </si>
  <si>
    <t>Handwritten entry on delivery note</t>
  </si>
  <si>
    <t>TOTAL UNITS DELIVERED:</t>
  </si>
  <si>
    <t>MINISTRY OF HEALTH - REQUISITION AND ISSUE VOUCHERS (HMIS PHAR 020)</t>
  </si>
  <si>
    <t>Health Facility (Requisitioner):</t>
  </si>
  <si>
    <t>MUBANDA H/C III</t>
  </si>
  <si>
    <t>Voucher Serial No. 1:</t>
  </si>
  <si>
    <t>1442233</t>
  </si>
  <si>
    <t>Department / Ward Issued To:</t>
  </si>
  <si>
    <t>Rugazi HC IV</t>
  </si>
  <si>
    <t>Voucher Serial No. 2:</t>
  </si>
  <si>
    <t>1442234</t>
  </si>
  <si>
    <t>Ordered By:</t>
  </si>
  <si>
    <t>Nuwamanya Prime (In-charge)</t>
  </si>
  <si>
    <t>Requisition Date:</t>
  </si>
  <si>
    <t>05/06/2025</t>
  </si>
  <si>
    <t>Authorized By:</t>
  </si>
  <si>
    <t>Dr. Agaba Nankunda (Ag. DHO)</t>
  </si>
  <si>
    <t>Issue &amp; Receipt Date:</t>
  </si>
  <si>
    <t>Voucher Serial No.</t>
  </si>
  <si>
    <t>Item Code No.</t>
  </si>
  <si>
    <t>Item Description (Name, Formulation, Strength)</t>
  </si>
  <si>
    <t>Previous Receipt</t>
  </si>
  <si>
    <t>Balance on Hand</t>
  </si>
  <si>
    <t>Quantity Required</t>
  </si>
  <si>
    <t>Quantity Issued</t>
  </si>
  <si>
    <t>Batch No.</t>
  </si>
  <si>
    <t>Ordered By</t>
  </si>
  <si>
    <t>Authorized By</t>
  </si>
  <si>
    <t>Receipt Date</t>
  </si>
  <si>
    <t>001</t>
  </si>
  <si>
    <t>Patient beds (Adult)</t>
  </si>
  <si>
    <t>Batch 1 (4), Batch 2 (5)</t>
  </si>
  <si>
    <t>002</t>
  </si>
  <si>
    <t>Patient beds (Paediatric / Baby Cot)</t>
  </si>
  <si>
    <t>Qty Batch 1 (2), Qty Batch 2 (2)</t>
  </si>
  <si>
    <t>003</t>
  </si>
  <si>
    <t>Oxygen Concentrator</t>
  </si>
  <si>
    <t>Qty Batch 2 (2)</t>
  </si>
  <si>
    <t>004</t>
  </si>
  <si>
    <t>Oxygen Regulator</t>
  </si>
  <si>
    <t>Qty Batch 1 (1)</t>
  </si>
  <si>
    <t>005</t>
  </si>
  <si>
    <t>Infant Weighing Scale</t>
  </si>
  <si>
    <t>006</t>
  </si>
  <si>
    <t>Drip Stands</t>
  </si>
  <si>
    <t>Qty Batch 1 (3)</t>
  </si>
  <si>
    <t>007</t>
  </si>
  <si>
    <t>008</t>
  </si>
  <si>
    <t>Patient Screens</t>
  </si>
  <si>
    <t>Qty Batch 1 (2)</t>
  </si>
  <si>
    <t>009</t>
  </si>
  <si>
    <t>Resuscitator Manual for Infants</t>
  </si>
  <si>
    <t>010</t>
  </si>
  <si>
    <t>011</t>
  </si>
  <si>
    <t>012</t>
  </si>
  <si>
    <t>Diagnostic Equipment Set, Ward</t>
  </si>
  <si>
    <t>013</t>
  </si>
  <si>
    <t>Instrument Set for Dressing</t>
  </si>
  <si>
    <t>Instrument Set for Stitch Removal</t>
  </si>
  <si>
    <t>Examination Lamp</t>
  </si>
  <si>
    <t>TOTAL QUANTITIES:</t>
  </si>
</sst>
</file>

<file path=xl/styles.xml><?xml version="1.0" encoding="utf-8"?>
<styleSheet xmlns="http://schemas.openxmlformats.org/spreadsheetml/2006/main">
  <numFmts count="2">
    <numFmt numFmtId="0" formatCode="General"/>
    <numFmt numFmtId="3" formatCode="#,##0"/>
  </numFmts>
  <fonts count="13">
    <font>
      <name val="Calibri"/>
      <sz val="11"/>
    </font>
    <font>
      <name val="Calibri"/>
      <b/>
      <sz val="16"/>
      <color rgb="FF1F4E79"/>
    </font>
    <font>
      <name val="Calibri"/>
      <i/>
      <sz val="9"/>
      <color rgb="FF555555"/>
    </font>
    <font>
      <name val="Calibri"/>
      <b/>
      <sz val="11"/>
      <color rgb="FFFFFFFF"/>
    </font>
    <font>
      <name val="Calibri"/>
      <b/>
      <sz val="10"/>
    </font>
    <font>
      <name val="Calibri"/>
      <sz val="10"/>
    </font>
    <font>
      <name val="Calibri"/>
      <b/>
      <sz val="10"/>
      <color rgb="FFFFFFFF"/>
    </font>
    <font>
      <name val="Calibri"/>
      <sz val="11"/>
    </font>
    <font>
      <name val="Calibri"/>
      <b/>
      <sz val="12"/>
      <color rgb="FF333333"/>
    </font>
    <font>
      <name val="Calibri"/>
      <sz val="11"/>
      <color rgb="FF000000"/>
    </font>
    <font>
      <name val="Calibri"/>
      <b/>
      <sz val="14"/>
      <color rgb="FFFFFFFF"/>
    </font>
    <font>
      <name val="Calibri"/>
      <b/>
      <sz val="11"/>
    </font>
    <font>
      <name val="Calibri"/>
      <b/>
      <sz val="11"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B365D"/>
        <bgColor rgb="FF1B365D"/>
      </patternFill>
    </fill>
    <fill>
      <patternFill patternType="solid">
        <fgColor rgb="FF2C4D75"/>
        <bgColor rgb="FF2C4D75"/>
      </patternFill>
    </fill>
    <fill>
      <patternFill patternType="solid">
        <fgColor rgb="FFF9FAFC"/>
        <bgColor rgb="FFF9FAFC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9"/>
      </top>
      <bottom style="double">
        <color rgb="FF1F4E79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1B365D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2" fillId="0" borderId="0" xfId="0" applyAlignment="1">
      <alignment horizontal="center" vertical="center"/>
    </xf>
    <xf numFmtId="0" fontId="3" fillId="2" borderId="0" xfId="0" applyAlignment="1">
      <alignment horizontal="left" vertical="center" indent="1"/>
    </xf>
    <xf numFmtId="0" fontId="4" fillId="0" borderId="0" xfId="0" applyAlignment="1">
      <alignment vertical="bottom"/>
    </xf>
    <xf numFmtId="0" fontId="5" fillId="0" borderId="0" xfId="0" applyAlignment="1">
      <alignment vertical="bottom"/>
    </xf>
    <xf numFmtId="0" fontId="6" fillId="3" borderId="0" xfId="0" applyAlignment="1">
      <alignment vertical="bottom"/>
    </xf>
    <xf numFmtId="0" fontId="4" fillId="0" borderId="1" xfId="0" applyAlignment="1">
      <alignment horizontal="center" vertical="top"/>
    </xf>
    <xf numFmtId="0" fontId="5" fillId="0" borderId="1" xfId="0" applyAlignment="1">
      <alignment vertical="top" wrapText="1"/>
    </xf>
    <xf numFmtId="0" fontId="7" fillId="0" borderId="2" xfId="0" applyAlignment="1">
      <alignment vertical="bottom"/>
    </xf>
    <xf numFmtId="0" fontId="7" fillId="0" borderId="3" xfId="0" applyAlignment="1">
      <alignment vertical="bottom"/>
    </xf>
    <xf numFmtId="0" fontId="1" fillId="0" borderId="0" xfId="0" applyAlignment="1">
      <alignment horizontal="left" vertical="center"/>
    </xf>
    <xf numFmtId="0" fontId="8" fillId="0" borderId="0" xfId="0" applyAlignment="1">
      <alignment vertical="bottom"/>
    </xf>
    <xf numFmtId="0" fontId="6" fillId="2" borderId="1" xfId="0" applyAlignment="1">
      <alignment horizontal="center" vertical="center" wrapText="1"/>
    </xf>
    <xf numFmtId="0" fontId="5" fillId="0" borderId="1" xfId="0" applyAlignment="1">
      <alignment horizontal="center" vertical="center"/>
    </xf>
    <xf numFmtId="0" fontId="5" fillId="0" borderId="1" xfId="0" applyAlignment="1">
      <alignment horizontal="left" vertical="center" wrapText="1"/>
    </xf>
    <xf numFmtId="0" fontId="5" fillId="4" borderId="1" xfId="0" applyAlignment="1">
      <alignment horizontal="center" vertical="center"/>
    </xf>
    <xf numFmtId="0" fontId="5" fillId="4" borderId="1" xfId="0" applyAlignment="1">
      <alignment horizontal="left" vertical="center" wrapText="1"/>
    </xf>
    <xf numFmtId="0" fontId="4" fillId="3" borderId="4" xfId="0" applyAlignment="1">
      <alignment vertical="bottom"/>
    </xf>
    <xf numFmtId="0" fontId="7" fillId="0" borderId="4" xfId="0" applyAlignment="1">
      <alignment vertical="bottom"/>
    </xf>
    <xf numFmtId="0" fontId="4" fillId="3" borderId="4" xfId="0" applyAlignment="1">
      <alignment horizontal="center" vertical="center"/>
    </xf>
    <xf numFmtId="0" fontId="9" fillId="3" borderId="4" xfId="0" applyAlignment="1">
      <alignment vertical="bottom"/>
    </xf>
    <xf numFmtId="0" fontId="7" fillId="0" borderId="0" xfId="0" applyAlignment="1">
      <alignment vertical="bottom"/>
    </xf>
    <xf numFmtId="0" fontId="10" fillId="5" borderId="0" xfId="0" applyAlignment="1">
      <alignment horizontal="center" vertical="center"/>
    </xf>
    <xf numFmtId="0" fontId="11" fillId="0" borderId="0" xfId="0" applyAlignment="1">
      <alignment vertical="bottom"/>
    </xf>
    <xf numFmtId="0" fontId="12" fillId="6" borderId="5" xfId="0" applyAlignment="1">
      <alignment horizontal="center" vertical="center" wrapText="1"/>
    </xf>
    <xf numFmtId="0" fontId="7" fillId="0" borderId="5" xfId="0" applyAlignment="1">
      <alignment horizontal="center" vertical="bottom"/>
    </xf>
    <xf numFmtId="0" fontId="7" fillId="0" borderId="5" xfId="0" applyAlignment="1">
      <alignment horizontal="left" vertical="bottom"/>
    </xf>
    <xf numFmtId="3" fontId="7" fillId="0" borderId="5" xfId="0" applyAlignment="1">
      <alignment horizontal="center" vertical="bottom"/>
    </xf>
    <xf numFmtId="0" fontId="7" fillId="7" borderId="5" xfId="0" applyAlignment="1">
      <alignment horizontal="center" vertical="bottom"/>
    </xf>
    <xf numFmtId="0" fontId="7" fillId="7" borderId="5" xfId="0" applyAlignment="1">
      <alignment horizontal="left" vertical="bottom"/>
    </xf>
    <xf numFmtId="3" fontId="7" fillId="7" borderId="5" xfId="0" applyAlignment="1">
      <alignment horizontal="center" vertical="bottom"/>
    </xf>
    <xf numFmtId="0" fontId="7" fillId="0" borderId="6" xfId="0" applyAlignment="1">
      <alignment vertical="bottom"/>
    </xf>
    <xf numFmtId="0" fontId="11" fillId="0" borderId="6" xfId="0" applyAlignment="1">
      <alignment horizontal="right" vertical="bottom"/>
    </xf>
    <xf numFmtId="3" fontId="11" fillId="0" borderId="6" xfId="0" applyAlignment="1">
      <alignment horizontal="center"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18"/>
  <sheetViews>
    <sheetView workbookViewId="0">
      <selection activeCell="A1" sqref="A1:G1"/>
    </sheetView>
  </sheetViews>
  <sheetFormatPr defaultRowHeight="15.0" defaultColWidth="10"/>
  <cols>
    <col min="1" max="1" customWidth="1" width="60.0" style="0"/>
    <col min="2" max="2" customWidth="1" width="151.0" style="0"/>
    <col min="3" max="3" customWidth="1" width="208.0" style="0"/>
    <col min="4" max="4" customWidth="1" width="38.0" style="0"/>
    <col min="5" max="5" customWidth="1" width="59.0" style="0"/>
    <col min="6" max="6" customWidth="1" width="12.0" style="0"/>
    <col min="7" max="7" customWidth="1" width="12.0" style="0"/>
  </cols>
  <sheetData>
    <row r="1" spans="8:8" ht="25.0" customHeight="1">
      <c r="A1" s="1" t="s">
        <v>168</v>
      </c>
    </row>
    <row r="2" spans="8:8" ht="18.0" customHeight="1">
      <c r="A2" s="2" t="s">
        <v>169</v>
      </c>
    </row>
    <row r="4" spans="8:8">
      <c r="A4" s="3" t="s">
        <v>170</v>
      </c>
    </row>
    <row r="5" spans="8:8" ht="20.0" customHeight="1">
      <c r="A5" s="4" t="s">
        <v>171</v>
      </c>
      <c r="B5" s="5" t="s">
        <v>172</v>
      </c>
      <c r="D5" s="4" t="s">
        <v>173</v>
      </c>
      <c r="E5" s="5"/>
    </row>
    <row r="6" spans="8:8" ht="20.0" customHeight="1">
      <c r="A6" s="4" t="s">
        <v>174</v>
      </c>
      <c r="B6" s="5" t="s">
        <v>175</v>
      </c>
      <c r="D6" s="4" t="s">
        <v>176</v>
      </c>
      <c r="E6" s="5" t="s">
        <v>177</v>
      </c>
    </row>
    <row r="7" spans="8:8" ht="20.0" customHeight="1">
      <c r="A7" s="4" t="s">
        <v>178</v>
      </c>
      <c r="B7" s="5" t="s">
        <v>179</v>
      </c>
      <c r="D7" s="4" t="s">
        <v>180</v>
      </c>
      <c r="E7" s="5" t="s">
        <v>181</v>
      </c>
    </row>
    <row r="8" spans="8:8" ht="20.0" customHeight="1">
      <c r="A8" s="4" t="s">
        <v>182</v>
      </c>
      <c r="B8" s="5" t="s">
        <v>183</v>
      </c>
      <c r="D8" s="4" t="s">
        <v>184</v>
      </c>
      <c r="E8" s="5"/>
    </row>
    <row r="9" spans="8:8" ht="20.0" customHeight="1">
      <c r="A9" s="4" t="s">
        <v>185</v>
      </c>
      <c r="B9" s="5" t="s">
        <v>186</v>
      </c>
      <c r="D9" s="4" t="s">
        <v>187</v>
      </c>
      <c r="E9" s="5" t="s">
        <v>188</v>
      </c>
    </row>
    <row r="10" spans="8:8" ht="20.0" customHeight="1">
      <c r="A10" s="4" t="s">
        <v>189</v>
      </c>
      <c r="B10" s="5" t="s">
        <v>190</v>
      </c>
      <c r="D10" s="4" t="s">
        <v>191</v>
      </c>
      <c r="E10" s="5" t="s">
        <v>192</v>
      </c>
    </row>
    <row r="12" spans="8:8">
      <c r="A12" s="3" t="s">
        <v>193</v>
      </c>
    </row>
    <row r="13" spans="8:8">
      <c r="A13" s="6" t="s">
        <v>194</v>
      </c>
      <c r="B13" s="6" t="s">
        <v>195</v>
      </c>
      <c r="C13" s="6" t="s">
        <v>196</v>
      </c>
    </row>
    <row r="14" spans="8:8" ht="45.0" customHeight="1">
      <c r="A14" s="7" t="s">
        <v>197</v>
      </c>
      <c r="B14" s="8" t="s">
        <v>198</v>
      </c>
      <c r="C14" s="8" t="s">
        <v>199</v>
      </c>
      <c r="D14" s="9"/>
      <c r="E14" s="9"/>
      <c r="F14" s="9"/>
      <c r="G14" s="10"/>
    </row>
    <row r="15" spans="8:8" ht="45.0" customHeight="1">
      <c r="A15" s="7" t="s">
        <v>200</v>
      </c>
      <c r="B15" s="8" t="s">
        <v>201</v>
      </c>
      <c r="C15" s="8" t="s">
        <v>202</v>
      </c>
      <c r="D15" s="9"/>
      <c r="E15" s="9"/>
      <c r="F15" s="9"/>
      <c r="G15" s="10"/>
    </row>
    <row r="16" spans="8:8" ht="45.0" customHeight="1">
      <c r="A16" s="7" t="s">
        <v>203</v>
      </c>
      <c r="B16" s="8" t="s">
        <v>204</v>
      </c>
      <c r="C16" s="8" t="s">
        <v>205</v>
      </c>
      <c r="D16" s="9"/>
      <c r="E16" s="9"/>
      <c r="F16" s="9"/>
      <c r="G16" s="10"/>
    </row>
    <row r="17" spans="8:8" ht="45.0" customHeight="1">
      <c r="A17" s="7" t="s">
        <v>206</v>
      </c>
      <c r="B17" s="8" t="s">
        <v>207</v>
      </c>
      <c r="C17" s="8" t="s">
        <v>208</v>
      </c>
      <c r="D17" s="9"/>
      <c r="E17" s="9"/>
      <c r="F17" s="9"/>
      <c r="G17" s="10"/>
    </row>
    <row r="18" spans="8:8" ht="45.0" customHeight="1">
      <c r="A18" s="7" t="s">
        <v>209</v>
      </c>
      <c r="B18" s="8" t="s">
        <v>210</v>
      </c>
      <c r="C18" s="8" t="s">
        <v>211</v>
      </c>
      <c r="D18" s="9"/>
      <c r="E18" s="9"/>
      <c r="F18" s="9"/>
      <c r="G18" s="10"/>
    </row>
  </sheetData>
  <mergeCells count="10">
    <mergeCell ref="A1:G1"/>
    <mergeCell ref="C16:G16"/>
    <mergeCell ref="C17:G17"/>
    <mergeCell ref="C15:G15"/>
    <mergeCell ref="A12:G12"/>
    <mergeCell ref="A4:G4"/>
    <mergeCell ref="A2:G2"/>
    <mergeCell ref="C14:G14"/>
    <mergeCell ref="C13:G13"/>
    <mergeCell ref="C18:G18"/>
  </mergeCell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N40"/>
  <sheetViews>
    <sheetView tabSelected="1" workbookViewId="0" topLeftCell="K1">
      <selection activeCell="A2" sqref="A2:M2"/>
    </sheetView>
  </sheetViews>
  <sheetFormatPr defaultRowHeight="15.0" defaultColWidth="10"/>
  <cols>
    <col min="1" max="1" customWidth="1" width="29.0" style="0"/>
    <col min="2" max="2" customWidth="1" width="48.0" style="0"/>
    <col min="3" max="3" customWidth="1" width="16.0" style="0"/>
    <col min="4" max="4" customWidth="1" width="74.0" style="0"/>
    <col min="5" max="5" customWidth="1" width="25.0" style="0"/>
    <col min="6" max="6" customWidth="1" width="16.0" style="0"/>
    <col min="7" max="7" customWidth="1" width="47.0" style="0"/>
    <col min="8" max="8" customWidth="1" width="18.0" style="0"/>
    <col min="9" max="9" customWidth="1" width="28.0" style="0"/>
    <col min="10" max="10" customWidth="1" width="20.0" style="0"/>
    <col min="11" max="11" customWidth="1" width="26.0" style="0"/>
    <col min="12" max="12" customWidth="1" width="20.0" style="0"/>
    <col min="13" max="13" customWidth="1" width="52.0" style="0"/>
  </cols>
  <sheetData>
    <row r="1" spans="8:8">
      <c r="A1" s="11" t="s">
        <v>0</v>
      </c>
    </row>
    <row r="2" spans="8:8">
      <c r="A2" s="12" t="s">
        <v>1</v>
      </c>
    </row>
    <row r="4" spans="8:8" ht="28.0" customHeight="1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13" t="s">
        <v>13</v>
      </c>
      <c r="M4" s="13" t="s">
        <v>14</v>
      </c>
    </row>
    <row r="5" spans="8:8" ht="20.0" customHeight="1">
      <c r="A5" s="14">
        <v>1.0</v>
      </c>
      <c r="B5" s="15" t="s">
        <v>15</v>
      </c>
      <c r="C5" s="14">
        <v>2.0</v>
      </c>
      <c r="D5" s="15" t="s">
        <v>16</v>
      </c>
      <c r="E5" s="14" t="s">
        <v>17</v>
      </c>
      <c r="F5" s="14"/>
      <c r="G5" s="14" t="s">
        <v>18</v>
      </c>
      <c r="H5" s="14"/>
      <c r="I5" s="14"/>
      <c r="J5" s="14"/>
      <c r="K5" s="14"/>
      <c r="L5" s="14" t="s">
        <v>19</v>
      </c>
      <c r="M5" s="15" t="s">
        <v>20</v>
      </c>
    </row>
    <row r="6" spans="8:8" ht="20.0" customHeight="1">
      <c r="A6" s="16">
        <v>2.0</v>
      </c>
      <c r="B6" s="17" t="s">
        <v>21</v>
      </c>
      <c r="C6" s="16">
        <v>1.0</v>
      </c>
      <c r="D6" s="17" t="s">
        <v>22</v>
      </c>
      <c r="E6" s="16" t="s">
        <v>23</v>
      </c>
      <c r="F6" s="16"/>
      <c r="G6" s="16" t="s">
        <v>24</v>
      </c>
      <c r="H6" s="16"/>
      <c r="I6" s="16"/>
      <c r="J6" s="16"/>
      <c r="K6" s="16"/>
      <c r="L6" s="16" t="s">
        <v>19</v>
      </c>
      <c r="M6" s="17" t="s">
        <v>25</v>
      </c>
    </row>
    <row r="7" spans="8:8" ht="20.0" customHeight="1">
      <c r="A7" s="14">
        <v>3.0</v>
      </c>
      <c r="B7" s="15" t="s">
        <v>26</v>
      </c>
      <c r="C7" s="14">
        <v>2.0</v>
      </c>
      <c r="D7" s="15" t="s">
        <v>27</v>
      </c>
      <c r="E7" s="14" t="s">
        <v>28</v>
      </c>
      <c r="F7" s="14"/>
      <c r="G7" s="14" t="s">
        <v>26</v>
      </c>
      <c r="H7" s="14"/>
      <c r="I7" s="14"/>
      <c r="J7" s="14"/>
      <c r="K7" s="14"/>
      <c r="L7" s="14" t="s">
        <v>19</v>
      </c>
      <c r="M7" s="15" t="s">
        <v>29</v>
      </c>
    </row>
    <row r="8" spans="8:8" ht="20.0" customHeight="1">
      <c r="A8" s="16">
        <v>4.0</v>
      </c>
      <c r="B8" s="17" t="s">
        <v>30</v>
      </c>
      <c r="C8" s="16">
        <v>2.0</v>
      </c>
      <c r="D8" s="17" t="s">
        <v>31</v>
      </c>
      <c r="E8" s="16" t="s">
        <v>32</v>
      </c>
      <c r="F8" s="16"/>
      <c r="G8" s="16" t="s">
        <v>33</v>
      </c>
      <c r="H8" s="16"/>
      <c r="I8" s="16"/>
      <c r="J8" s="16"/>
      <c r="K8" s="16"/>
      <c r="L8" s="16" t="s">
        <v>19</v>
      </c>
      <c r="M8" s="17" t="s">
        <v>34</v>
      </c>
    </row>
    <row r="9" spans="8:8" ht="20.0" customHeight="1">
      <c r="A9" s="14">
        <v>5.0</v>
      </c>
      <c r="B9" s="15" t="s">
        <v>35</v>
      </c>
      <c r="C9" s="14">
        <v>2.0</v>
      </c>
      <c r="D9" s="15" t="s">
        <v>36</v>
      </c>
      <c r="E9" s="14" t="s">
        <v>37</v>
      </c>
      <c r="F9" s="14"/>
      <c r="G9" s="14" t="s">
        <v>38</v>
      </c>
      <c r="H9" s="14"/>
      <c r="I9" s="14"/>
      <c r="J9" s="14"/>
      <c r="K9" s="14"/>
      <c r="L9" s="14" t="s">
        <v>19</v>
      </c>
      <c r="M9" s="15" t="s">
        <v>39</v>
      </c>
    </row>
    <row r="10" spans="8:8" ht="20.0" customHeight="1">
      <c r="A10" s="16">
        <v>6.0</v>
      </c>
      <c r="B10" s="17" t="s">
        <v>40</v>
      </c>
      <c r="C10" s="16">
        <v>1.0</v>
      </c>
      <c r="D10" s="17" t="s">
        <v>41</v>
      </c>
      <c r="E10" s="16" t="s">
        <v>42</v>
      </c>
      <c r="F10" s="16"/>
      <c r="G10" s="16" t="s">
        <v>43</v>
      </c>
      <c r="H10" s="16"/>
      <c r="I10" s="16"/>
      <c r="J10" s="16"/>
      <c r="K10" s="16"/>
      <c r="L10" s="16" t="s">
        <v>19</v>
      </c>
      <c r="M10" s="17" t="s">
        <v>44</v>
      </c>
    </row>
    <row r="11" spans="8:8" ht="20.0" customHeight="1">
      <c r="A11" s="14">
        <v>7.0</v>
      </c>
      <c r="B11" s="15" t="s">
        <v>45</v>
      </c>
      <c r="C11" s="14">
        <v>4.0</v>
      </c>
      <c r="D11" s="15" t="s">
        <v>46</v>
      </c>
      <c r="E11" s="14" t="s">
        <v>47</v>
      </c>
      <c r="F11" s="14"/>
      <c r="G11" s="14" t="s">
        <v>48</v>
      </c>
      <c r="H11" s="14"/>
      <c r="I11" s="14"/>
      <c r="J11" s="14"/>
      <c r="K11" s="14"/>
      <c r="L11" s="14" t="s">
        <v>19</v>
      </c>
      <c r="M11" s="15" t="s">
        <v>49</v>
      </c>
    </row>
    <row r="12" spans="8:8" ht="20.0" customHeight="1">
      <c r="A12" s="16">
        <v>8.0</v>
      </c>
      <c r="B12" s="17" t="s">
        <v>50</v>
      </c>
      <c r="C12" s="16">
        <v>1.0</v>
      </c>
      <c r="D12" s="17" t="s">
        <v>51</v>
      </c>
      <c r="E12" s="16" t="s">
        <v>52</v>
      </c>
      <c r="F12" s="16"/>
      <c r="G12" s="16" t="s">
        <v>53</v>
      </c>
      <c r="H12" s="16"/>
      <c r="I12" s="16"/>
      <c r="J12" s="16"/>
      <c r="K12" s="16"/>
      <c r="L12" s="16" t="s">
        <v>19</v>
      </c>
      <c r="M12" s="17" t="s">
        <v>54</v>
      </c>
    </row>
    <row r="13" spans="8:8" ht="20.0" customHeight="1">
      <c r="A13" s="14">
        <v>9.0</v>
      </c>
      <c r="B13" s="15" t="s">
        <v>55</v>
      </c>
      <c r="C13" s="14">
        <v>2.0</v>
      </c>
      <c r="D13" s="15" t="s">
        <v>56</v>
      </c>
      <c r="E13" s="14" t="s">
        <v>57</v>
      </c>
      <c r="F13" s="14"/>
      <c r="G13" s="14" t="s">
        <v>58</v>
      </c>
      <c r="H13" s="14"/>
      <c r="I13" s="14"/>
      <c r="J13" s="14"/>
      <c r="K13" s="14"/>
      <c r="L13" s="14" t="s">
        <v>19</v>
      </c>
      <c r="M13" s="15" t="s">
        <v>59</v>
      </c>
    </row>
    <row r="14" spans="8:8" ht="20.0" customHeight="1">
      <c r="A14" s="16">
        <v>10.0</v>
      </c>
      <c r="B14" s="17" t="s">
        <v>60</v>
      </c>
      <c r="C14" s="16">
        <v>2.0</v>
      </c>
      <c r="D14" s="17" t="s">
        <v>61</v>
      </c>
      <c r="E14" s="16" t="s">
        <v>62</v>
      </c>
      <c r="F14" s="16"/>
      <c r="G14" s="16" t="s">
        <v>63</v>
      </c>
      <c r="H14" s="16"/>
      <c r="I14" s="16"/>
      <c r="J14" s="16"/>
      <c r="K14" s="16"/>
      <c r="L14" s="16" t="s">
        <v>19</v>
      </c>
      <c r="M14" s="17" t="s">
        <v>25</v>
      </c>
    </row>
    <row r="15" spans="8:8" ht="20.0" customHeight="1">
      <c r="A15" s="14">
        <v>11.0</v>
      </c>
      <c r="B15" s="15" t="s">
        <v>64</v>
      </c>
      <c r="C15" s="14">
        <v>1.0</v>
      </c>
      <c r="D15" s="15" t="s">
        <v>65</v>
      </c>
      <c r="E15" s="14" t="s">
        <v>66</v>
      </c>
      <c r="F15" s="14"/>
      <c r="G15" s="14" t="s">
        <v>67</v>
      </c>
      <c r="H15" s="14"/>
      <c r="I15" s="14"/>
      <c r="J15" s="14"/>
      <c r="K15" s="14"/>
      <c r="L15" s="14" t="s">
        <v>68</v>
      </c>
      <c r="M15" s="15" t="s">
        <v>69</v>
      </c>
    </row>
    <row r="16" spans="8:8" ht="20.0" customHeight="1">
      <c r="A16" s="16">
        <v>12.0</v>
      </c>
      <c r="B16" s="17" t="s">
        <v>70</v>
      </c>
      <c r="C16" s="16">
        <v>4.0</v>
      </c>
      <c r="D16" s="17" t="s">
        <v>71</v>
      </c>
      <c r="E16" s="16" t="s">
        <v>72</v>
      </c>
      <c r="F16" s="16"/>
      <c r="G16" s="16" t="s">
        <v>73</v>
      </c>
      <c r="H16" s="16"/>
      <c r="I16" s="16"/>
      <c r="J16" s="16"/>
      <c r="K16" s="16"/>
      <c r="L16" s="16" t="s">
        <v>19</v>
      </c>
      <c r="M16" s="17" t="s">
        <v>74</v>
      </c>
    </row>
    <row r="17" spans="8:8" ht="20.0" customHeight="1">
      <c r="A17" s="14">
        <v>13.0</v>
      </c>
      <c r="B17" s="15" t="s">
        <v>75</v>
      </c>
      <c r="C17" s="14">
        <v>1.0</v>
      </c>
      <c r="D17" s="15" t="s">
        <v>76</v>
      </c>
      <c r="E17" s="14" t="s">
        <v>77</v>
      </c>
      <c r="F17" s="14"/>
      <c r="G17" s="14" t="s">
        <v>78</v>
      </c>
      <c r="H17" s="14"/>
      <c r="I17" s="14"/>
      <c r="J17" s="14"/>
      <c r="K17" s="14"/>
      <c r="L17" s="14" t="s">
        <v>19</v>
      </c>
      <c r="M17" s="15" t="s">
        <v>54</v>
      </c>
    </row>
    <row r="18" spans="8:8" ht="20.0" customHeight="1">
      <c r="A18" s="16">
        <v>14.0</v>
      </c>
      <c r="B18" s="17" t="s">
        <v>79</v>
      </c>
      <c r="C18" s="16">
        <v>1.0</v>
      </c>
      <c r="D18" s="17" t="s">
        <v>76</v>
      </c>
      <c r="E18" s="16" t="s">
        <v>80</v>
      </c>
      <c r="F18" s="16"/>
      <c r="G18" s="16" t="s">
        <v>81</v>
      </c>
      <c r="H18" s="16"/>
      <c r="I18" s="16"/>
      <c r="J18" s="16"/>
      <c r="K18" s="16"/>
      <c r="L18" s="16" t="s">
        <v>19</v>
      </c>
      <c r="M18" s="17" t="s">
        <v>54</v>
      </c>
    </row>
    <row r="19" spans="8:8" ht="20.0" customHeight="1">
      <c r="A19" s="14">
        <v>15.0</v>
      </c>
      <c r="B19" s="15" t="s">
        <v>82</v>
      </c>
      <c r="C19" s="14">
        <v>1.0</v>
      </c>
      <c r="D19" s="15" t="s">
        <v>83</v>
      </c>
      <c r="E19" s="14" t="s">
        <v>42</v>
      </c>
      <c r="F19" s="14"/>
      <c r="G19" s="14" t="s">
        <v>84</v>
      </c>
      <c r="H19" s="14"/>
      <c r="I19" s="14"/>
      <c r="J19" s="14"/>
      <c r="K19" s="14"/>
      <c r="L19" s="14" t="s">
        <v>19</v>
      </c>
      <c r="M19" s="15" t="s">
        <v>85</v>
      </c>
    </row>
    <row r="20" spans="8:8" ht="20.0" customHeight="1">
      <c r="A20" s="16">
        <v>16.0</v>
      </c>
      <c r="B20" s="17" t="s">
        <v>86</v>
      </c>
      <c r="C20" s="16">
        <v>5.0</v>
      </c>
      <c r="D20" s="17" t="s">
        <v>87</v>
      </c>
      <c r="E20" s="16" t="s">
        <v>88</v>
      </c>
      <c r="F20" s="16"/>
      <c r="G20" s="16" t="s">
        <v>89</v>
      </c>
      <c r="H20" s="16"/>
      <c r="I20" s="16"/>
      <c r="J20" s="16"/>
      <c r="K20" s="16"/>
      <c r="L20" s="16" t="s">
        <v>19</v>
      </c>
      <c r="M20" s="17" t="s">
        <v>90</v>
      </c>
    </row>
    <row r="21" spans="8:8" ht="20.0" customHeight="1">
      <c r="A21" s="14">
        <v>17.0</v>
      </c>
      <c r="B21" s="15" t="s">
        <v>91</v>
      </c>
      <c r="C21" s="14">
        <v>5.0</v>
      </c>
      <c r="D21" s="15" t="s">
        <v>92</v>
      </c>
      <c r="E21" s="14" t="s">
        <v>93</v>
      </c>
      <c r="F21" s="14"/>
      <c r="G21" s="14" t="s">
        <v>94</v>
      </c>
      <c r="H21" s="14"/>
      <c r="I21" s="14"/>
      <c r="J21" s="14"/>
      <c r="K21" s="14"/>
      <c r="L21" s="14" t="s">
        <v>19</v>
      </c>
      <c r="M21" s="15" t="s">
        <v>95</v>
      </c>
    </row>
    <row r="22" spans="8:8" ht="20.0" customHeight="1">
      <c r="A22" s="16">
        <v>18.0</v>
      </c>
      <c r="B22" s="17" t="s">
        <v>96</v>
      </c>
      <c r="C22" s="16">
        <v>1.0</v>
      </c>
      <c r="D22" s="17" t="s">
        <v>22</v>
      </c>
      <c r="E22" s="16" t="s">
        <v>97</v>
      </c>
      <c r="F22" s="16"/>
      <c r="G22" s="16" t="s">
        <v>98</v>
      </c>
      <c r="H22" s="16"/>
      <c r="I22" s="16"/>
      <c r="J22" s="16"/>
      <c r="K22" s="16"/>
      <c r="L22" s="16" t="s">
        <v>19</v>
      </c>
      <c r="M22" s="17" t="s">
        <v>25</v>
      </c>
    </row>
    <row r="23" spans="8:8" ht="20.0" customHeight="1">
      <c r="A23" s="14">
        <v>19.0</v>
      </c>
      <c r="B23" s="15" t="s">
        <v>99</v>
      </c>
      <c r="C23" s="14">
        <v>1.0</v>
      </c>
      <c r="D23" s="15" t="s">
        <v>100</v>
      </c>
      <c r="E23" s="14" t="s">
        <v>101</v>
      </c>
      <c r="F23" s="14"/>
      <c r="G23" s="14" t="s">
        <v>102</v>
      </c>
      <c r="H23" s="14"/>
      <c r="I23" s="14"/>
      <c r="J23" s="14"/>
      <c r="K23" s="14"/>
      <c r="L23" s="14" t="s">
        <v>19</v>
      </c>
      <c r="M23" s="15" t="s">
        <v>103</v>
      </c>
    </row>
    <row r="24" spans="8:8" ht="20.0" customHeight="1">
      <c r="A24" s="16">
        <v>20.0</v>
      </c>
      <c r="B24" s="17" t="s">
        <v>104</v>
      </c>
      <c r="C24" s="16">
        <v>2.0</v>
      </c>
      <c r="D24" s="17" t="s">
        <v>105</v>
      </c>
      <c r="E24" s="16" t="s">
        <v>106</v>
      </c>
      <c r="F24" s="16"/>
      <c r="G24" s="16" t="s">
        <v>107</v>
      </c>
      <c r="H24" s="16"/>
      <c r="I24" s="16"/>
      <c r="J24" s="16"/>
      <c r="K24" s="16"/>
      <c r="L24" s="16" t="s">
        <v>19</v>
      </c>
      <c r="M24" s="17" t="s">
        <v>108</v>
      </c>
    </row>
    <row r="25" spans="8:8" ht="20.0" customHeight="1">
      <c r="A25" s="14">
        <v>21.0</v>
      </c>
      <c r="B25" s="15" t="s">
        <v>109</v>
      </c>
      <c r="C25" s="14">
        <v>2.0</v>
      </c>
      <c r="D25" s="15" t="s">
        <v>110</v>
      </c>
      <c r="E25" s="14" t="s">
        <v>111</v>
      </c>
      <c r="F25" s="14"/>
      <c r="G25" s="14" t="s">
        <v>112</v>
      </c>
      <c r="H25" s="14"/>
      <c r="I25" s="14"/>
      <c r="J25" s="14"/>
      <c r="K25" s="14"/>
      <c r="L25" s="14" t="s">
        <v>19</v>
      </c>
      <c r="M25" s="15" t="s">
        <v>113</v>
      </c>
    </row>
    <row r="26" spans="8:8" ht="20.0" customHeight="1">
      <c r="A26" s="16">
        <v>22.0</v>
      </c>
      <c r="B26" s="17" t="s">
        <v>114</v>
      </c>
      <c r="C26" s="16">
        <v>2.0</v>
      </c>
      <c r="D26" s="17" t="s">
        <v>61</v>
      </c>
      <c r="E26" s="16" t="s">
        <v>115</v>
      </c>
      <c r="F26" s="16"/>
      <c r="G26" s="16" t="s">
        <v>116</v>
      </c>
      <c r="H26" s="16"/>
      <c r="I26" s="16"/>
      <c r="J26" s="16"/>
      <c r="K26" s="16"/>
      <c r="L26" s="16" t="s">
        <v>19</v>
      </c>
      <c r="M26" s="17" t="s">
        <v>25</v>
      </c>
    </row>
    <row r="27" spans="8:8" ht="20.0" customHeight="1">
      <c r="A27" s="14">
        <v>23.0</v>
      </c>
      <c r="B27" s="15" t="s">
        <v>117</v>
      </c>
      <c r="C27" s="14">
        <v>1.0</v>
      </c>
      <c r="D27" s="15" t="s">
        <v>118</v>
      </c>
      <c r="E27" s="14" t="s">
        <v>37</v>
      </c>
      <c r="F27" s="14"/>
      <c r="G27" s="14" t="s">
        <v>119</v>
      </c>
      <c r="H27" s="14"/>
      <c r="I27" s="14"/>
      <c r="J27" s="14"/>
      <c r="K27" s="14"/>
      <c r="L27" s="14" t="s">
        <v>19</v>
      </c>
      <c r="M27" s="15" t="s">
        <v>120</v>
      </c>
    </row>
    <row r="28" spans="8:8" ht="20.0" customHeight="1">
      <c r="A28" s="16">
        <v>24.0</v>
      </c>
      <c r="B28" s="17" t="s">
        <v>121</v>
      </c>
      <c r="C28" s="16">
        <v>4.0</v>
      </c>
      <c r="D28" s="17" t="s">
        <v>122</v>
      </c>
      <c r="E28" s="16" t="s">
        <v>123</v>
      </c>
      <c r="F28" s="16"/>
      <c r="G28" s="16" t="s">
        <v>124</v>
      </c>
      <c r="H28" s="16"/>
      <c r="I28" s="16"/>
      <c r="J28" s="16"/>
      <c r="K28" s="16"/>
      <c r="L28" s="16" t="s">
        <v>19</v>
      </c>
      <c r="M28" s="17" t="s">
        <v>125</v>
      </c>
    </row>
    <row r="29" spans="8:8" ht="20.0" customHeight="1">
      <c r="A29" s="14">
        <v>25.0</v>
      </c>
      <c r="B29" s="15" t="s">
        <v>126</v>
      </c>
      <c r="C29" s="14">
        <v>6.0</v>
      </c>
      <c r="D29" s="15" t="s">
        <v>127</v>
      </c>
      <c r="E29" s="14" t="s">
        <v>128</v>
      </c>
      <c r="F29" s="14"/>
      <c r="G29" s="14" t="s">
        <v>129</v>
      </c>
      <c r="H29" s="14"/>
      <c r="I29" s="14"/>
      <c r="J29" s="14"/>
      <c r="K29" s="14"/>
      <c r="L29" s="14" t="s">
        <v>19</v>
      </c>
      <c r="M29" s="15" t="s">
        <v>130</v>
      </c>
    </row>
    <row r="30" spans="8:8" ht="20.0" customHeight="1">
      <c r="A30" s="16">
        <v>26.0</v>
      </c>
      <c r="B30" s="17" t="s">
        <v>131</v>
      </c>
      <c r="C30" s="16">
        <v>5.0</v>
      </c>
      <c r="D30" s="17" t="s">
        <v>132</v>
      </c>
      <c r="E30" s="16" t="s">
        <v>133</v>
      </c>
      <c r="F30" s="16"/>
      <c r="G30" s="16" t="s">
        <v>134</v>
      </c>
      <c r="H30" s="16"/>
      <c r="I30" s="16"/>
      <c r="J30" s="16"/>
      <c r="K30" s="16"/>
      <c r="L30" s="16" t="s">
        <v>19</v>
      </c>
      <c r="M30" s="17" t="s">
        <v>135</v>
      </c>
    </row>
    <row r="31" spans="8:8" ht="20.0" customHeight="1">
      <c r="A31" s="14">
        <v>27.0</v>
      </c>
      <c r="B31" s="15" t="s">
        <v>136</v>
      </c>
      <c r="C31" s="14">
        <v>3.0</v>
      </c>
      <c r="D31" s="15" t="s">
        <v>137</v>
      </c>
      <c r="E31" s="14" t="s">
        <v>138</v>
      </c>
      <c r="F31" s="14"/>
      <c r="G31" s="14" t="s">
        <v>139</v>
      </c>
      <c r="H31" s="14"/>
      <c r="I31" s="14"/>
      <c r="J31" s="14"/>
      <c r="K31" s="14"/>
      <c r="L31" s="14" t="s">
        <v>19</v>
      </c>
      <c r="M31" s="15" t="s">
        <v>140</v>
      </c>
    </row>
    <row r="32" spans="8:8" ht="20.0" customHeight="1">
      <c r="A32" s="16">
        <v>28.0</v>
      </c>
      <c r="B32" s="17" t="s">
        <v>141</v>
      </c>
      <c r="C32" s="16">
        <v>1.0</v>
      </c>
      <c r="D32" s="17" t="s">
        <v>142</v>
      </c>
      <c r="E32" s="16" t="s">
        <v>42</v>
      </c>
      <c r="F32" s="16"/>
      <c r="G32" s="16" t="s">
        <v>143</v>
      </c>
      <c r="H32" s="16"/>
      <c r="I32" s="16"/>
      <c r="J32" s="16"/>
      <c r="K32" s="16"/>
      <c r="L32" s="16" t="s">
        <v>19</v>
      </c>
      <c r="M32" s="17" t="s">
        <v>20</v>
      </c>
    </row>
    <row r="33" spans="8:8" ht="20.0" customHeight="1">
      <c r="A33" s="14">
        <v>29.0</v>
      </c>
      <c r="B33" s="15" t="s">
        <v>144</v>
      </c>
      <c r="C33" s="14">
        <v>3.0</v>
      </c>
      <c r="D33" s="15" t="s">
        <v>145</v>
      </c>
      <c r="E33" s="14" t="s">
        <v>111</v>
      </c>
      <c r="F33" s="14"/>
      <c r="G33" s="14" t="s">
        <v>146</v>
      </c>
      <c r="H33" s="14"/>
      <c r="I33" s="14"/>
      <c r="J33" s="14"/>
      <c r="K33" s="14"/>
      <c r="L33" s="14" t="s">
        <v>19</v>
      </c>
      <c r="M33" s="15" t="s">
        <v>147</v>
      </c>
    </row>
    <row r="34" spans="8:8" ht="20.0" customHeight="1">
      <c r="A34" s="16">
        <v>30.0</v>
      </c>
      <c r="B34" s="17" t="s">
        <v>148</v>
      </c>
      <c r="C34" s="16">
        <v>2.0</v>
      </c>
      <c r="D34" s="17" t="s">
        <v>149</v>
      </c>
      <c r="E34" s="16" t="s">
        <v>101</v>
      </c>
      <c r="F34" s="16"/>
      <c r="G34" s="16" t="s">
        <v>150</v>
      </c>
      <c r="H34" s="16"/>
      <c r="I34" s="16"/>
      <c r="J34" s="16"/>
      <c r="K34" s="16"/>
      <c r="L34" s="16" t="s">
        <v>19</v>
      </c>
      <c r="M34" s="17" t="s">
        <v>151</v>
      </c>
    </row>
    <row r="35" spans="8:8" ht="20.0" customHeight="1">
      <c r="A35" s="14">
        <v>31.0</v>
      </c>
      <c r="B35" s="15" t="s">
        <v>152</v>
      </c>
      <c r="C35" s="14">
        <v>1.0</v>
      </c>
      <c r="D35" s="15" t="s">
        <v>22</v>
      </c>
      <c r="E35" s="14" t="s">
        <v>153</v>
      </c>
      <c r="F35" s="14"/>
      <c r="G35" s="14" t="s">
        <v>154</v>
      </c>
      <c r="H35" s="14"/>
      <c r="I35" s="14"/>
      <c r="J35" s="14"/>
      <c r="K35" s="14"/>
      <c r="L35" s="14" t="s">
        <v>19</v>
      </c>
      <c r="M35" s="15" t="s">
        <v>25</v>
      </c>
    </row>
    <row r="36" spans="8:8" ht="20.0" customHeight="1">
      <c r="A36" s="16">
        <v>32.0</v>
      </c>
      <c r="B36" s="17" t="s">
        <v>155</v>
      </c>
      <c r="C36" s="16">
        <v>1.0</v>
      </c>
      <c r="D36" s="17" t="s">
        <v>156</v>
      </c>
      <c r="E36" s="16" t="s">
        <v>157</v>
      </c>
      <c r="F36" s="16"/>
      <c r="G36" s="16" t="s">
        <v>158</v>
      </c>
      <c r="H36" s="16"/>
      <c r="I36" s="16"/>
      <c r="J36" s="16"/>
      <c r="K36" s="16"/>
      <c r="L36" s="16" t="s">
        <v>19</v>
      </c>
      <c r="M36" s="17" t="s">
        <v>85</v>
      </c>
    </row>
    <row r="37" spans="8:8" ht="20.0" customHeight="1">
      <c r="A37" s="14">
        <v>33.0</v>
      </c>
      <c r="B37" s="15" t="s">
        <v>159</v>
      </c>
      <c r="C37" s="14">
        <v>1.0</v>
      </c>
      <c r="D37" s="15" t="s">
        <v>156</v>
      </c>
      <c r="E37" s="14" t="s">
        <v>111</v>
      </c>
      <c r="F37" s="14"/>
      <c r="G37" s="14" t="s">
        <v>160</v>
      </c>
      <c r="H37" s="14"/>
      <c r="I37" s="14"/>
      <c r="J37" s="14"/>
      <c r="K37" s="14"/>
      <c r="L37" s="14" t="s">
        <v>19</v>
      </c>
      <c r="M37" s="15" t="s">
        <v>85</v>
      </c>
    </row>
    <row r="38" spans="8:8" ht="20.0" customHeight="1">
      <c r="A38" s="16">
        <v>34.0</v>
      </c>
      <c r="B38" s="17" t="s">
        <v>161</v>
      </c>
      <c r="C38" s="16">
        <v>1.0</v>
      </c>
      <c r="D38" s="17" t="s">
        <v>156</v>
      </c>
      <c r="E38" s="16" t="s">
        <v>162</v>
      </c>
      <c r="F38" s="16"/>
      <c r="G38" s="16" t="s">
        <v>163</v>
      </c>
      <c r="H38" s="16"/>
      <c r="I38" s="16"/>
      <c r="J38" s="16"/>
      <c r="K38" s="16"/>
      <c r="L38" s="16" t="s">
        <v>19</v>
      </c>
      <c r="M38" s="17" t="s">
        <v>164</v>
      </c>
    </row>
    <row r="39" spans="8:8" ht="20.0" customHeight="1">
      <c r="A39" s="14">
        <v>35.0</v>
      </c>
      <c r="B39" s="15" t="s">
        <v>165</v>
      </c>
      <c r="C39" s="14">
        <v>1.0</v>
      </c>
      <c r="D39" s="15" t="s">
        <v>156</v>
      </c>
      <c r="E39" s="14" t="s">
        <v>66</v>
      </c>
      <c r="F39" s="14"/>
      <c r="G39" s="14" t="s">
        <v>166</v>
      </c>
      <c r="H39" s="14"/>
      <c r="I39" s="14"/>
      <c r="J39" s="14"/>
      <c r="K39" s="14"/>
      <c r="L39" s="14" t="s">
        <v>19</v>
      </c>
      <c r="M39" s="15" t="s">
        <v>164</v>
      </c>
    </row>
    <row r="40" spans="8:8" ht="22.0" customHeight="1">
      <c r="A40" s="18" t="s">
        <v>167</v>
      </c>
      <c r="B40" s="19"/>
      <c r="C40" s="20">
        <f>SUM(C5:C39)</f>
        <v>75.0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</row>
  </sheetData>
  <mergeCells count="3">
    <mergeCell ref="A2:M2"/>
    <mergeCell ref="A40:B40"/>
    <mergeCell ref="A1:M1"/>
  </mergeCells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L24"/>
  <sheetViews>
    <sheetView workbookViewId="0">
      <selection activeCell="A1" sqref="A1:K1"/>
    </sheetView>
  </sheetViews>
  <sheetFormatPr defaultRowHeight="15.0" defaultColWidth="10"/>
  <cols>
    <col min="1" max="1" customWidth="1" width="36.0" style="22"/>
    <col min="2" max="2" customWidth="1" width="32.0" style="22"/>
    <col min="3" max="3" customWidth="1" width="50.0" style="22"/>
    <col min="4" max="4" customWidth="1" width="25.0" style="22"/>
    <col min="5" max="5" customWidth="1" width="19.0" style="22"/>
    <col min="6" max="6" customWidth="1" width="21.0" style="22"/>
    <col min="7" max="7" customWidth="1" width="19.0" style="22"/>
    <col min="8" max="8" customWidth="1" width="36.0" style="22"/>
    <col min="9" max="9" customWidth="1" width="31.0" style="22"/>
    <col min="10" max="10" customWidth="1" width="32.0" style="22"/>
    <col min="11" max="11" customWidth="1" width="16.0" style="22"/>
  </cols>
  <sheetData>
    <row r="1" spans="8:8" ht="35.0" customHeight="1">
      <c r="A1" s="23" t="s">
        <v>260</v>
      </c>
    </row>
    <row r="3" spans="8:8">
      <c r="A3" s="24" t="s">
        <v>261</v>
      </c>
      <c r="B3" t="s">
        <v>262</v>
      </c>
      <c r="D3" s="24" t="s">
        <v>263</v>
      </c>
      <c r="E3" t="s">
        <v>264</v>
      </c>
    </row>
    <row r="4" spans="8:8">
      <c r="A4" s="24" t="s">
        <v>265</v>
      </c>
      <c r="B4" t="s">
        <v>266</v>
      </c>
      <c r="D4" s="24" t="s">
        <v>267</v>
      </c>
      <c r="E4" t="s">
        <v>268</v>
      </c>
    </row>
    <row r="5" spans="8:8">
      <c r="A5" s="24" t="s">
        <v>269</v>
      </c>
      <c r="B5" t="s">
        <v>270</v>
      </c>
      <c r="D5" s="24" t="s">
        <v>271</v>
      </c>
      <c r="E5" t="s">
        <v>272</v>
      </c>
    </row>
    <row r="6" spans="8:8">
      <c r="A6" s="24" t="s">
        <v>273</v>
      </c>
      <c r="B6" t="s">
        <v>274</v>
      </c>
      <c r="D6" s="24" t="s">
        <v>275</v>
      </c>
      <c r="E6" t="s">
        <v>272</v>
      </c>
    </row>
    <row r="8" spans="8:8" ht="28.0" customHeight="1">
      <c r="A8" s="25" t="s">
        <v>276</v>
      </c>
      <c r="B8" s="25" t="s">
        <v>277</v>
      </c>
      <c r="C8" s="25" t="s">
        <v>278</v>
      </c>
      <c r="D8" s="25" t="s">
        <v>279</v>
      </c>
      <c r="E8" s="25" t="s">
        <v>280</v>
      </c>
      <c r="F8" s="25" t="s">
        <v>281</v>
      </c>
      <c r="G8" s="25" t="s">
        <v>282</v>
      </c>
      <c r="H8" s="25" t="s">
        <v>283</v>
      </c>
      <c r="I8" s="25" t="s">
        <v>284</v>
      </c>
      <c r="J8" s="25" t="s">
        <v>285</v>
      </c>
      <c r="K8" s="25" t="s">
        <v>286</v>
      </c>
    </row>
    <row r="9" spans="8:8">
      <c r="A9" s="26" t="s">
        <v>264</v>
      </c>
      <c r="B9" s="26" t="s">
        <v>287</v>
      </c>
      <c r="C9" s="27" t="s">
        <v>288</v>
      </c>
      <c r="D9" s="28">
        <v>0.0</v>
      </c>
      <c r="E9" s="28">
        <v>23.0</v>
      </c>
      <c r="F9" s="28">
        <v>5.0</v>
      </c>
      <c r="G9" s="28">
        <v>9.0</v>
      </c>
      <c r="H9" s="27" t="s">
        <v>289</v>
      </c>
      <c r="I9" s="27" t="s">
        <v>270</v>
      </c>
      <c r="J9" s="27" t="s">
        <v>274</v>
      </c>
      <c r="K9" s="26" t="s">
        <v>272</v>
      </c>
    </row>
    <row r="10" spans="8:8">
      <c r="A10" s="29" t="s">
        <v>264</v>
      </c>
      <c r="B10" s="29" t="s">
        <v>290</v>
      </c>
      <c r="C10" s="30" t="s">
        <v>291</v>
      </c>
      <c r="D10" s="31">
        <v>0.0</v>
      </c>
      <c r="E10" s="31">
        <v>2.0</v>
      </c>
      <c r="F10" s="31">
        <v>4.0</v>
      </c>
      <c r="G10" s="31">
        <v>4.0</v>
      </c>
      <c r="H10" s="30" t="s">
        <v>292</v>
      </c>
      <c r="I10" s="30" t="s">
        <v>270</v>
      </c>
      <c r="J10" s="30" t="s">
        <v>274</v>
      </c>
      <c r="K10" s="29" t="s">
        <v>272</v>
      </c>
    </row>
    <row r="11" spans="8:8">
      <c r="A11" s="26" t="s">
        <v>264</v>
      </c>
      <c r="B11" s="26" t="s">
        <v>293</v>
      </c>
      <c r="C11" s="27" t="s">
        <v>294</v>
      </c>
      <c r="D11" s="28">
        <v>0.0</v>
      </c>
      <c r="E11" s="28">
        <v>1.0</v>
      </c>
      <c r="F11" s="28">
        <v>3.0</v>
      </c>
      <c r="G11" s="28">
        <v>2.0</v>
      </c>
      <c r="H11" s="27" t="s">
        <v>295</v>
      </c>
      <c r="I11" s="27" t="s">
        <v>270</v>
      </c>
      <c r="J11" s="27" t="s">
        <v>274</v>
      </c>
      <c r="K11" s="26" t="s">
        <v>272</v>
      </c>
    </row>
    <row r="12" spans="8:8">
      <c r="A12" s="29" t="s">
        <v>264</v>
      </c>
      <c r="B12" s="29" t="s">
        <v>296</v>
      </c>
      <c r="C12" s="30" t="s">
        <v>297</v>
      </c>
      <c r="D12" s="31">
        <v>0.0</v>
      </c>
      <c r="E12" s="31">
        <v>3.0</v>
      </c>
      <c r="F12" s="31">
        <v>2.0</v>
      </c>
      <c r="G12" s="31">
        <v>1.0</v>
      </c>
      <c r="H12" s="30" t="s">
        <v>298</v>
      </c>
      <c r="I12" s="30" t="s">
        <v>270</v>
      </c>
      <c r="J12" s="30" t="s">
        <v>274</v>
      </c>
      <c r="K12" s="29" t="s">
        <v>272</v>
      </c>
    </row>
    <row r="13" spans="8:8">
      <c r="A13" s="26" t="s">
        <v>264</v>
      </c>
      <c r="B13" s="26" t="s">
        <v>299</v>
      </c>
      <c r="C13" s="27" t="s">
        <v>300</v>
      </c>
      <c r="D13" s="28">
        <v>0.0</v>
      </c>
      <c r="E13" s="28">
        <v>0.0</v>
      </c>
      <c r="F13" s="28">
        <v>1.0</v>
      </c>
      <c r="G13" s="28">
        <v>1.0</v>
      </c>
      <c r="H13" s="27" t="s">
        <v>298</v>
      </c>
      <c r="I13" s="27" t="s">
        <v>270</v>
      </c>
      <c r="J13" s="27" t="s">
        <v>274</v>
      </c>
      <c r="K13" s="26" t="s">
        <v>272</v>
      </c>
    </row>
    <row r="14" spans="8:8">
      <c r="A14" s="29" t="s">
        <v>264</v>
      </c>
      <c r="B14" s="29" t="s">
        <v>301</v>
      </c>
      <c r="C14" s="30" t="s">
        <v>302</v>
      </c>
      <c r="D14" s="31">
        <v>0.0</v>
      </c>
      <c r="E14" s="31">
        <v>25.0</v>
      </c>
      <c r="F14" s="31">
        <v>3.0</v>
      </c>
      <c r="G14" s="31">
        <v>3.0</v>
      </c>
      <c r="H14" s="30" t="s">
        <v>303</v>
      </c>
      <c r="I14" s="30" t="s">
        <v>270</v>
      </c>
      <c r="J14" s="30" t="s">
        <v>274</v>
      </c>
      <c r="K14" s="29" t="s">
        <v>272</v>
      </c>
    </row>
    <row r="15" spans="8:8">
      <c r="A15" s="26" t="s">
        <v>264</v>
      </c>
      <c r="B15" s="26" t="s">
        <v>304</v>
      </c>
      <c r="C15" s="27" t="s">
        <v>50</v>
      </c>
      <c r="D15" s="28">
        <v>0.0</v>
      </c>
      <c r="E15" s="28">
        <v>2.0</v>
      </c>
      <c r="F15" s="28">
        <v>1.0</v>
      </c>
      <c r="G15" s="28">
        <v>1.0</v>
      </c>
      <c r="H15" s="27" t="s">
        <v>298</v>
      </c>
      <c r="I15" s="27" t="s">
        <v>270</v>
      </c>
      <c r="J15" s="27" t="s">
        <v>274</v>
      </c>
      <c r="K15" s="26" t="s">
        <v>272</v>
      </c>
    </row>
    <row r="16" spans="8:8">
      <c r="A16" s="29" t="s">
        <v>264</v>
      </c>
      <c r="B16" s="29" t="s">
        <v>305</v>
      </c>
      <c r="C16" s="30" t="s">
        <v>306</v>
      </c>
      <c r="D16" s="31">
        <v>0.0</v>
      </c>
      <c r="E16" s="31">
        <v>1.0</v>
      </c>
      <c r="F16" s="31">
        <v>2.0</v>
      </c>
      <c r="G16" s="31">
        <v>2.0</v>
      </c>
      <c r="H16" s="30" t="s">
        <v>307</v>
      </c>
      <c r="I16" s="30" t="s">
        <v>270</v>
      </c>
      <c r="J16" s="30" t="s">
        <v>274</v>
      </c>
      <c r="K16" s="29" t="s">
        <v>272</v>
      </c>
    </row>
    <row r="17" spans="8:8">
      <c r="A17" s="26" t="s">
        <v>264</v>
      </c>
      <c r="B17" s="26" t="s">
        <v>308</v>
      </c>
      <c r="C17" s="27" t="s">
        <v>309</v>
      </c>
      <c r="D17" s="28">
        <v>0.0</v>
      </c>
      <c r="E17" s="28">
        <v>0.0</v>
      </c>
      <c r="F17" s="28">
        <v>1.0</v>
      </c>
      <c r="G17" s="28">
        <v>1.0</v>
      </c>
      <c r="H17" s="27" t="s">
        <v>298</v>
      </c>
      <c r="I17" s="27" t="s">
        <v>270</v>
      </c>
      <c r="J17" s="27" t="s">
        <v>274</v>
      </c>
      <c r="K17" s="26" t="s">
        <v>272</v>
      </c>
    </row>
    <row r="18" spans="8:8">
      <c r="A18" s="29" t="s">
        <v>264</v>
      </c>
      <c r="B18" s="29" t="s">
        <v>310</v>
      </c>
      <c r="C18" s="30" t="s">
        <v>144</v>
      </c>
      <c r="D18" s="31">
        <v>0.0</v>
      </c>
      <c r="E18" s="31">
        <v>1.0</v>
      </c>
      <c r="F18" s="31">
        <v>1.0</v>
      </c>
      <c r="G18" s="31">
        <v>1.0</v>
      </c>
      <c r="H18" s="30" t="s">
        <v>298</v>
      </c>
      <c r="I18" s="30" t="s">
        <v>270</v>
      </c>
      <c r="J18" s="30" t="s">
        <v>274</v>
      </c>
      <c r="K18" s="29" t="s">
        <v>272</v>
      </c>
    </row>
    <row r="19" spans="8:8">
      <c r="A19" s="26" t="s">
        <v>264</v>
      </c>
      <c r="B19" s="26" t="s">
        <v>311</v>
      </c>
      <c r="C19" s="27" t="s">
        <v>136</v>
      </c>
      <c r="D19" s="28">
        <v>0.0</v>
      </c>
      <c r="E19" s="28">
        <v>0.0</v>
      </c>
      <c r="F19" s="28">
        <v>1.0</v>
      </c>
      <c r="G19" s="28">
        <v>1.0</v>
      </c>
      <c r="H19" s="27" t="s">
        <v>298</v>
      </c>
      <c r="I19" s="27" t="s">
        <v>270</v>
      </c>
      <c r="J19" s="27" t="s">
        <v>274</v>
      </c>
      <c r="K19" s="26" t="s">
        <v>272</v>
      </c>
    </row>
    <row r="20" spans="8:8">
      <c r="A20" s="29" t="s">
        <v>264</v>
      </c>
      <c r="B20" s="29" t="s">
        <v>312</v>
      </c>
      <c r="C20" s="30" t="s">
        <v>313</v>
      </c>
      <c r="D20" s="31">
        <v>0.0</v>
      </c>
      <c r="E20" s="31">
        <v>0.0</v>
      </c>
      <c r="F20" s="31">
        <v>1.0</v>
      </c>
      <c r="G20" s="31">
        <v>1.0</v>
      </c>
      <c r="H20" s="30" t="s">
        <v>298</v>
      </c>
      <c r="I20" s="30" t="s">
        <v>270</v>
      </c>
      <c r="J20" s="30" t="s">
        <v>274</v>
      </c>
      <c r="K20" s="29" t="s">
        <v>272</v>
      </c>
    </row>
    <row r="21" spans="8:8">
      <c r="A21" s="26" t="s">
        <v>264</v>
      </c>
      <c r="B21" s="26" t="s">
        <v>314</v>
      </c>
      <c r="C21" s="27" t="s">
        <v>315</v>
      </c>
      <c r="D21" s="28">
        <v>0.0</v>
      </c>
      <c r="E21" s="28">
        <v>0.0</v>
      </c>
      <c r="F21" s="28">
        <v>1.0</v>
      </c>
      <c r="G21" s="28">
        <v>1.0</v>
      </c>
      <c r="H21" s="27" t="s">
        <v>298</v>
      </c>
      <c r="I21" s="27" t="s">
        <v>270</v>
      </c>
      <c r="J21" s="27" t="s">
        <v>274</v>
      </c>
      <c r="K21" s="26" t="s">
        <v>272</v>
      </c>
    </row>
    <row r="22" spans="8:8">
      <c r="A22" s="29" t="s">
        <v>268</v>
      </c>
      <c r="B22" s="29" t="s">
        <v>287</v>
      </c>
      <c r="C22" s="30" t="s">
        <v>316</v>
      </c>
      <c r="D22" s="31">
        <v>0.0</v>
      </c>
      <c r="E22" s="31">
        <v>0.0</v>
      </c>
      <c r="F22" s="31">
        <v>1.0</v>
      </c>
      <c r="G22" s="31">
        <v>1.0</v>
      </c>
      <c r="H22" s="30" t="s">
        <v>298</v>
      </c>
      <c r="I22" s="30" t="s">
        <v>270</v>
      </c>
      <c r="J22" s="30" t="s">
        <v>274</v>
      </c>
      <c r="K22" s="29" t="s">
        <v>272</v>
      </c>
    </row>
    <row r="23" spans="8:8">
      <c r="A23" s="26" t="s">
        <v>268</v>
      </c>
      <c r="B23" s="26" t="s">
        <v>290</v>
      </c>
      <c r="C23" s="27" t="s">
        <v>317</v>
      </c>
      <c r="D23" s="28">
        <v>0.0</v>
      </c>
      <c r="E23" s="28">
        <v>0.0</v>
      </c>
      <c r="F23" s="28">
        <v>1.0</v>
      </c>
      <c r="G23" s="28">
        <v>1.0</v>
      </c>
      <c r="H23" s="27" t="s">
        <v>298</v>
      </c>
      <c r="I23" s="27" t="s">
        <v>270</v>
      </c>
      <c r="J23" s="27" t="s">
        <v>274</v>
      </c>
      <c r="K23" s="26" t="s">
        <v>272</v>
      </c>
    </row>
    <row r="24" spans="8:8">
      <c r="A24" s="32"/>
      <c r="B24" s="32"/>
      <c r="C24" s="33" t="s">
        <v>318</v>
      </c>
      <c r="D24" s="32"/>
      <c r="E24" s="32"/>
      <c r="F24" s="34">
        <f>SUM(F9:F23)</f>
        <v>28.0</v>
      </c>
      <c r="G24" s="34">
        <f>SUM(G9:G23)</f>
        <v>30.0</v>
      </c>
      <c r="H24" s="32"/>
      <c r="I24" s="32"/>
      <c r="J24" s="32"/>
      <c r="K24" s="32"/>
    </row>
  </sheetData>
  <mergeCells count="1">
    <mergeCell ref="A1:K1"/>
  </mergeCells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A1:F49"/>
  <sheetViews>
    <sheetView workbookViewId="0">
      <selection activeCell="A1" sqref="A1:E1"/>
    </sheetView>
  </sheetViews>
  <sheetFormatPr defaultRowHeight="15.0" defaultColWidth="10"/>
  <cols>
    <col min="1" max="1" customWidth="1" width="44.0" style="22"/>
    <col min="2" max="2" customWidth="1" width="52.0" style="22"/>
    <col min="3" max="3" customWidth="1" width="22.0" style="22"/>
    <col min="4" max="4" customWidth="1" width="27.0" style="22"/>
    <col min="5" max="5" customWidth="1" width="38.0" style="22"/>
  </cols>
  <sheetData>
    <row r="1" spans="8:8" ht="35.0" customHeight="1">
      <c r="A1" s="23" t="s">
        <v>212</v>
      </c>
    </row>
    <row r="3" spans="8:8">
      <c r="A3" s="24" t="s">
        <v>213</v>
      </c>
      <c r="B3" t="s">
        <v>214</v>
      </c>
      <c r="D3" s="24" t="s">
        <v>215</v>
      </c>
      <c r="E3" t="s">
        <v>216</v>
      </c>
    </row>
    <row r="4" spans="8:8">
      <c r="A4" s="24" t="s">
        <v>217</v>
      </c>
      <c r="B4" t="s">
        <v>218</v>
      </c>
      <c r="D4" s="24" t="s">
        <v>219</v>
      </c>
      <c r="E4" t="s">
        <v>220</v>
      </c>
    </row>
    <row r="5" spans="8:8">
      <c r="A5" s="24" t="s">
        <v>221</v>
      </c>
      <c r="B5" t="s">
        <v>222</v>
      </c>
      <c r="D5" s="24" t="s">
        <v>223</v>
      </c>
      <c r="E5" t="s">
        <v>224</v>
      </c>
    </row>
    <row r="6" spans="8:8">
      <c r="A6" s="24" t="s">
        <v>225</v>
      </c>
      <c r="B6" t="s">
        <v>226</v>
      </c>
      <c r="D6" s="24" t="s">
        <v>227</v>
      </c>
      <c r="E6" t="s">
        <v>228</v>
      </c>
    </row>
    <row r="7" spans="8:8">
      <c r="A7" s="24" t="s">
        <v>229</v>
      </c>
      <c r="B7" t="s">
        <v>230</v>
      </c>
      <c r="D7" s="24" t="s">
        <v>231</v>
      </c>
      <c r="E7" t="s">
        <v>232</v>
      </c>
    </row>
    <row r="9" spans="8:8" ht="28.0" customHeight="1">
      <c r="A9" s="25" t="s">
        <v>233</v>
      </c>
      <c r="B9" s="25" t="s">
        <v>234</v>
      </c>
      <c r="C9" s="25" t="s">
        <v>235</v>
      </c>
      <c r="D9" s="25" t="s">
        <v>236</v>
      </c>
      <c r="E9" s="25" t="s">
        <v>237</v>
      </c>
    </row>
    <row r="10" spans="8:8">
      <c r="A10" s="29">
        <v>1.0</v>
      </c>
      <c r="B10" s="30" t="s">
        <v>15</v>
      </c>
      <c r="C10" s="31">
        <v>2.0</v>
      </c>
      <c r="D10" s="30" t="s">
        <v>238</v>
      </c>
      <c r="E10" s="30" t="s">
        <v>239</v>
      </c>
    </row>
    <row r="11" spans="8:8">
      <c r="A11" s="26">
        <v>2.0</v>
      </c>
      <c r="B11" s="27" t="s">
        <v>21</v>
      </c>
      <c r="C11" s="28">
        <v>1.0</v>
      </c>
      <c r="D11" s="27" t="s">
        <v>238</v>
      </c>
      <c r="E11" s="27" t="s">
        <v>239</v>
      </c>
    </row>
    <row r="12" spans="8:8">
      <c r="A12" s="29">
        <v>3.0</v>
      </c>
      <c r="B12" s="30" t="s">
        <v>26</v>
      </c>
      <c r="C12" s="31">
        <v>2.0</v>
      </c>
      <c r="D12" s="30" t="s">
        <v>238</v>
      </c>
      <c r="E12" s="30" t="s">
        <v>239</v>
      </c>
    </row>
    <row r="13" spans="8:8">
      <c r="A13" s="26">
        <v>4.0</v>
      </c>
      <c r="B13" s="27" t="s">
        <v>30</v>
      </c>
      <c r="C13" s="28">
        <v>2.0</v>
      </c>
      <c r="D13" s="27" t="s">
        <v>238</v>
      </c>
      <c r="E13" s="27" t="s">
        <v>239</v>
      </c>
    </row>
    <row r="14" spans="8:8">
      <c r="A14" s="29">
        <v>5.0</v>
      </c>
      <c r="B14" s="30" t="s">
        <v>240</v>
      </c>
      <c r="C14" s="31">
        <v>2.0</v>
      </c>
      <c r="D14" s="30" t="s">
        <v>238</v>
      </c>
      <c r="E14" s="30" t="s">
        <v>239</v>
      </c>
    </row>
    <row r="15" spans="8:8">
      <c r="A15" s="26">
        <v>6.0</v>
      </c>
      <c r="B15" s="27" t="s">
        <v>40</v>
      </c>
      <c r="C15" s="28">
        <v>1.0</v>
      </c>
      <c r="D15" s="27" t="s">
        <v>238</v>
      </c>
      <c r="E15" s="27" t="s">
        <v>241</v>
      </c>
    </row>
    <row r="16" spans="8:8">
      <c r="A16" s="29">
        <v>7.0</v>
      </c>
      <c r="B16" s="30" t="s">
        <v>45</v>
      </c>
      <c r="C16" s="31">
        <v>4.0</v>
      </c>
      <c r="D16" s="30" t="s">
        <v>238</v>
      </c>
      <c r="E16" s="30" t="s">
        <v>239</v>
      </c>
    </row>
    <row r="17" spans="8:8">
      <c r="A17" s="26">
        <v>8.0</v>
      </c>
      <c r="B17" s="27" t="s">
        <v>50</v>
      </c>
      <c r="C17" s="28">
        <v>1.0</v>
      </c>
      <c r="D17" s="27" t="s">
        <v>238</v>
      </c>
      <c r="E17" s="27" t="s">
        <v>239</v>
      </c>
    </row>
    <row r="18" spans="8:8">
      <c r="A18" s="29">
        <v>9.0</v>
      </c>
      <c r="B18" s="30" t="s">
        <v>242</v>
      </c>
      <c r="C18" s="31">
        <v>2.0</v>
      </c>
      <c r="D18" s="30" t="s">
        <v>238</v>
      </c>
      <c r="E18" s="30" t="s">
        <v>239</v>
      </c>
    </row>
    <row r="19" spans="8:8">
      <c r="A19" s="26">
        <v>10.0</v>
      </c>
      <c r="B19" s="27" t="s">
        <v>60</v>
      </c>
      <c r="C19" s="28">
        <v>2.0</v>
      </c>
      <c r="D19" s="27" t="s">
        <v>238</v>
      </c>
      <c r="E19" s="27" t="s">
        <v>239</v>
      </c>
    </row>
    <row r="20" spans="8:8">
      <c r="A20" s="29">
        <v>11.0</v>
      </c>
      <c r="B20" s="30" t="s">
        <v>64</v>
      </c>
      <c r="C20" s="31">
        <v>1.0</v>
      </c>
      <c r="D20" s="30" t="s">
        <v>243</v>
      </c>
      <c r="E20" s="30" t="s">
        <v>244</v>
      </c>
    </row>
    <row r="21" spans="8:8">
      <c r="A21" s="26">
        <v>12.0</v>
      </c>
      <c r="B21" s="27" t="s">
        <v>70</v>
      </c>
      <c r="C21" s="28">
        <v>4.0</v>
      </c>
      <c r="D21" s="27" t="s">
        <v>238</v>
      </c>
      <c r="E21" s="27" t="s">
        <v>239</v>
      </c>
    </row>
    <row r="22" spans="8:8">
      <c r="A22" s="29">
        <v>13.0</v>
      </c>
      <c r="B22" s="30" t="s">
        <v>245</v>
      </c>
      <c r="C22" s="31">
        <v>2.0</v>
      </c>
      <c r="D22" s="30" t="s">
        <v>238</v>
      </c>
      <c r="E22" s="30" t="s">
        <v>239</v>
      </c>
    </row>
    <row r="23" spans="8:8">
      <c r="A23" s="26">
        <v>14.0</v>
      </c>
      <c r="B23" s="27" t="s">
        <v>246</v>
      </c>
      <c r="C23" s="28">
        <v>2.0</v>
      </c>
      <c r="D23" s="27" t="s">
        <v>238</v>
      </c>
      <c r="E23" s="27" t="s">
        <v>239</v>
      </c>
    </row>
    <row r="24" spans="8:8">
      <c r="A24" s="29">
        <v>15.0</v>
      </c>
      <c r="B24" s="30" t="s">
        <v>82</v>
      </c>
      <c r="C24" s="31">
        <v>2.0</v>
      </c>
      <c r="D24" s="30" t="s">
        <v>238</v>
      </c>
      <c r="E24" s="30" t="s">
        <v>239</v>
      </c>
    </row>
    <row r="25" spans="8:8">
      <c r="A25" s="26">
        <v>16.0</v>
      </c>
      <c r="B25" s="27" t="s">
        <v>247</v>
      </c>
      <c r="C25" s="28">
        <v>2.0</v>
      </c>
      <c r="D25" s="27" t="s">
        <v>238</v>
      </c>
      <c r="E25" s="27" t="s">
        <v>239</v>
      </c>
    </row>
    <row r="26" spans="8:8">
      <c r="A26" s="29">
        <v>17.0</v>
      </c>
      <c r="B26" s="30" t="s">
        <v>248</v>
      </c>
      <c r="C26" s="31">
        <v>3.0</v>
      </c>
      <c r="D26" s="30" t="s">
        <v>238</v>
      </c>
      <c r="E26" s="30" t="s">
        <v>239</v>
      </c>
    </row>
    <row r="27" spans="8:8">
      <c r="A27" s="26">
        <v>18.0</v>
      </c>
      <c r="B27" s="27" t="s">
        <v>249</v>
      </c>
      <c r="C27" s="28">
        <v>2.0</v>
      </c>
      <c r="D27" s="27" t="s">
        <v>238</v>
      </c>
      <c r="E27" s="27" t="s">
        <v>239</v>
      </c>
    </row>
    <row r="28" spans="8:8">
      <c r="A28" s="29">
        <v>19.0</v>
      </c>
      <c r="B28" s="30" t="s">
        <v>86</v>
      </c>
      <c r="C28" s="31">
        <v>10.0</v>
      </c>
      <c r="D28" s="30" t="s">
        <v>238</v>
      </c>
      <c r="E28" s="30" t="s">
        <v>239</v>
      </c>
    </row>
    <row r="29" spans="8:8">
      <c r="A29" s="26">
        <v>20.0</v>
      </c>
      <c r="B29" s="27" t="s">
        <v>250</v>
      </c>
      <c r="C29" s="28">
        <v>5.0</v>
      </c>
      <c r="D29" s="27" t="s">
        <v>238</v>
      </c>
      <c r="E29" s="27" t="s">
        <v>239</v>
      </c>
    </row>
    <row r="30" spans="8:8">
      <c r="A30" s="29">
        <v>21.0</v>
      </c>
      <c r="B30" s="30" t="s">
        <v>96</v>
      </c>
      <c r="C30" s="31">
        <v>1.0</v>
      </c>
      <c r="D30" s="30" t="s">
        <v>238</v>
      </c>
      <c r="E30" s="30" t="s">
        <v>239</v>
      </c>
    </row>
    <row r="31" spans="8:8">
      <c r="A31" s="26">
        <v>22.0</v>
      </c>
      <c r="B31" s="27" t="s">
        <v>99</v>
      </c>
      <c r="C31" s="28">
        <v>1.0</v>
      </c>
      <c r="D31" s="27" t="s">
        <v>238</v>
      </c>
      <c r="E31" s="27" t="s">
        <v>239</v>
      </c>
    </row>
    <row r="32" spans="8:8">
      <c r="A32" s="29">
        <v>23.0</v>
      </c>
      <c r="B32" s="30" t="s">
        <v>251</v>
      </c>
      <c r="C32" s="31">
        <v>2.0</v>
      </c>
      <c r="D32" s="30" t="s">
        <v>238</v>
      </c>
      <c r="E32" s="30" t="s">
        <v>239</v>
      </c>
    </row>
    <row r="33" spans="8:8">
      <c r="A33" s="26">
        <v>24.0</v>
      </c>
      <c r="B33" s="27" t="s">
        <v>252</v>
      </c>
      <c r="C33" s="28">
        <v>2.0</v>
      </c>
      <c r="D33" s="27" t="s">
        <v>238</v>
      </c>
      <c r="E33" s="27" t="s">
        <v>239</v>
      </c>
    </row>
    <row r="34" spans="8:8">
      <c r="A34" s="29">
        <v>25.0</v>
      </c>
      <c r="B34" s="30" t="s">
        <v>253</v>
      </c>
      <c r="C34" s="31">
        <v>2.0</v>
      </c>
      <c r="D34" s="30" t="s">
        <v>238</v>
      </c>
      <c r="E34" s="30" t="s">
        <v>239</v>
      </c>
    </row>
    <row r="35" spans="8:8">
      <c r="A35" s="26">
        <v>26.0</v>
      </c>
      <c r="B35" s="27" t="s">
        <v>117</v>
      </c>
      <c r="C35" s="28">
        <v>1.0</v>
      </c>
      <c r="D35" s="27" t="s">
        <v>238</v>
      </c>
      <c r="E35" s="27" t="s">
        <v>239</v>
      </c>
    </row>
    <row r="36" spans="8:8">
      <c r="A36" s="29">
        <v>27.0</v>
      </c>
      <c r="B36" s="30" t="s">
        <v>254</v>
      </c>
      <c r="C36" s="31">
        <v>4.0</v>
      </c>
      <c r="D36" s="30" t="s">
        <v>238</v>
      </c>
      <c r="E36" s="30" t="s">
        <v>239</v>
      </c>
    </row>
    <row r="37" spans="8:8">
      <c r="A37" s="26">
        <v>28.0</v>
      </c>
      <c r="B37" s="27" t="s">
        <v>121</v>
      </c>
      <c r="C37" s="28">
        <v>4.0</v>
      </c>
      <c r="D37" s="27" t="s">
        <v>238</v>
      </c>
      <c r="E37" s="27" t="s">
        <v>239</v>
      </c>
    </row>
    <row r="38" spans="8:8">
      <c r="A38" s="29">
        <v>29.0</v>
      </c>
      <c r="B38" s="30" t="s">
        <v>126</v>
      </c>
      <c r="C38" s="31">
        <v>6.0</v>
      </c>
      <c r="D38" s="30" t="s">
        <v>238</v>
      </c>
      <c r="E38" s="30" t="s">
        <v>239</v>
      </c>
    </row>
    <row r="39" spans="8:8">
      <c r="A39" s="26">
        <v>30.0</v>
      </c>
      <c r="B39" s="27" t="s">
        <v>131</v>
      </c>
      <c r="C39" s="28">
        <v>5.0</v>
      </c>
      <c r="D39" s="27" t="s">
        <v>238</v>
      </c>
      <c r="E39" s="27" t="s">
        <v>239</v>
      </c>
    </row>
    <row r="40" spans="8:8">
      <c r="A40" s="29">
        <v>31.0</v>
      </c>
      <c r="B40" s="30" t="s">
        <v>255</v>
      </c>
      <c r="C40" s="31">
        <v>3.0</v>
      </c>
      <c r="D40" s="30" t="s">
        <v>238</v>
      </c>
      <c r="E40" s="30" t="s">
        <v>239</v>
      </c>
    </row>
    <row r="41" spans="8:8">
      <c r="A41" s="26">
        <v>32.0</v>
      </c>
      <c r="B41" s="27" t="s">
        <v>136</v>
      </c>
      <c r="C41" s="28">
        <v>3.0</v>
      </c>
      <c r="D41" s="27" t="s">
        <v>238</v>
      </c>
      <c r="E41" s="27" t="s">
        <v>239</v>
      </c>
    </row>
    <row r="42" spans="8:8">
      <c r="A42" s="29">
        <v>33.0</v>
      </c>
      <c r="B42" s="30" t="s">
        <v>256</v>
      </c>
      <c r="C42" s="31">
        <v>3.0</v>
      </c>
      <c r="D42" s="30" t="s">
        <v>238</v>
      </c>
      <c r="E42" s="30" t="s">
        <v>239</v>
      </c>
    </row>
    <row r="43" spans="8:8">
      <c r="A43" s="26">
        <v>34.0</v>
      </c>
      <c r="B43" s="27" t="s">
        <v>79</v>
      </c>
      <c r="C43" s="28">
        <v>3.0</v>
      </c>
      <c r="D43" s="27" t="s">
        <v>238</v>
      </c>
      <c r="E43" s="27" t="s">
        <v>239</v>
      </c>
    </row>
    <row r="44" spans="8:8">
      <c r="A44" s="29">
        <v>35.0</v>
      </c>
      <c r="B44" s="30" t="s">
        <v>141</v>
      </c>
      <c r="C44" s="31">
        <v>1.0</v>
      </c>
      <c r="D44" s="30" t="s">
        <v>238</v>
      </c>
      <c r="E44" s="30" t="s">
        <v>239</v>
      </c>
    </row>
    <row r="45" spans="8:8">
      <c r="A45" s="26">
        <v>36.0</v>
      </c>
      <c r="B45" s="27" t="s">
        <v>144</v>
      </c>
      <c r="C45" s="28">
        <v>3.0</v>
      </c>
      <c r="D45" s="27" t="s">
        <v>238</v>
      </c>
      <c r="E45" s="27" t="s">
        <v>239</v>
      </c>
    </row>
    <row r="46" spans="8:8">
      <c r="A46" s="29">
        <v>37.0</v>
      </c>
      <c r="B46" s="30" t="s">
        <v>148</v>
      </c>
      <c r="C46" s="31">
        <v>2.0</v>
      </c>
      <c r="D46" s="30" t="s">
        <v>238</v>
      </c>
      <c r="E46" s="30" t="s">
        <v>239</v>
      </c>
    </row>
    <row r="47" spans="8:8">
      <c r="A47" s="26">
        <v>38.0</v>
      </c>
      <c r="B47" s="27" t="s">
        <v>152</v>
      </c>
      <c r="C47" s="28">
        <v>1.0</v>
      </c>
      <c r="D47" s="27" t="s">
        <v>238</v>
      </c>
      <c r="E47" s="27" t="s">
        <v>239</v>
      </c>
    </row>
    <row r="48" spans="8:8">
      <c r="A48" s="29">
        <v>39.0</v>
      </c>
      <c r="B48" s="30" t="s">
        <v>257</v>
      </c>
      <c r="C48" s="31">
        <v>1.0</v>
      </c>
      <c r="D48" s="30" t="s">
        <v>238</v>
      </c>
      <c r="E48" s="30" t="s">
        <v>258</v>
      </c>
    </row>
    <row r="49" spans="8:8">
      <c r="A49" s="32"/>
      <c r="B49" s="33" t="s">
        <v>259</v>
      </c>
      <c r="C49" s="34">
        <f>SUM(C10:C48)</f>
        <v>100.0</v>
      </c>
      <c r="D49" s="32"/>
      <c r="E49" s="32"/>
    </row>
  </sheetData>
  <mergeCells count="1">
    <mergeCell ref="A1:E1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2026-08-29T03:32:47Z</dcterms:created>
  <dcterms:modified xsi:type="dcterms:W3CDTF">2026-08-29T09:39:27Z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84fb34dbfc744e30a83ef2ee98822316</vt:lpwstr>
  </property>
</Properties>
</file>