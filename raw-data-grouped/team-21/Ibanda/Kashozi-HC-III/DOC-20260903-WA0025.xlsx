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Asset Verification" sheetId="1" r:id="rId1"/>
  </sheets>
  <calcPr fullCalcOnLoad="1" calcId="124519"/>
</workbook>
</file>

<file path=xl/sharedStrings.xml><?xml version="1.0" encoding="utf-8"?>
<sst xmlns="http://schemas.openxmlformats.org/spreadsheetml/2006/main" uniqueCount="230" count="230">
  <si>
    <t>KASHOZI HEALTH CENTRE III - ASSET VERIFICATION REPORT</t>
  </si>
  <si>
    <t>District:</t>
  </si>
  <si>
    <t>Ibanda DLG</t>
  </si>
  <si>
    <t>Procurement Entity:</t>
  </si>
  <si>
    <t>N2M Company Limited</t>
  </si>
  <si>
    <t>Verification Status:</t>
  </si>
  <si>
    <t>Completed</t>
  </si>
  <si>
    <t>Name of Verifier:</t>
  </si>
  <si>
    <t>Byaruhanga Jackson Musafiri</t>
  </si>
  <si>
    <t>Name of Supervisor:</t>
  </si>
  <si>
    <t>Gumisiriza Johnson</t>
  </si>
  <si>
    <t>SN</t>
  </si>
  <si>
    <t>Equipment Name</t>
  </si>
  <si>
    <t>Qty</t>
  </si>
  <si>
    <t>Unit Cost (UGX)</t>
  </si>
  <si>
    <t>Total Cost (UGX)</t>
  </si>
  <si>
    <t>Equipment Description</t>
  </si>
  <si>
    <t>Status</t>
  </si>
  <si>
    <t>Verification Remarks</t>
  </si>
  <si>
    <t>B.P. Machine, Digital</t>
  </si>
  <si>
    <t>Automated non-invasive blood pressure monitor with digital display for measuring systolic/diastolic pressure and pulse.</t>
  </si>
  <si>
    <t>Functional / Good</t>
  </si>
  <si>
    <t>Verified 2 units. Fully operational; calibrated for routine triage.</t>
  </si>
  <si>
    <t>B.P. Machine (Aneroid wall mounted)</t>
  </si>
  <si>
    <t>Wall-mounted precision gauge aneroid sphygmomanometer with adjustable cuff and extra-long coiled tubing.</t>
  </si>
  <si>
    <t>Verified 2 units. Securely wall-mounted in clinical rooms.</t>
  </si>
  <si>
    <t>Autoclave 20 Liters, Duo Operated</t>
  </si>
  <si>
    <t>—</t>
  </si>
  <si>
    <t>20L dual-power (electric and thermal source) steam sterilizer for surgical instruments and medical supplies.</t>
  </si>
  <si>
    <t>Not Supplied / Zero Qty</t>
  </si>
  <si>
    <t>Quantity listed as 0. No stock physical unit presented during verification.</t>
  </si>
  <si>
    <t>Bowl, Kick</t>
  </si>
  <si>
    <t>Stainless steel basin set on a heavy-duty mobile wheeled frame for operating and procedure rooms.</t>
  </si>
  <si>
    <t>Verified 1 unit. Wheels and stainless frame intact.</t>
  </si>
  <si>
    <t>Bowl Stand</t>
  </si>
  <si>
    <t>Single/double basin stainless steel support stand for surgical and washing procedures.</t>
  </si>
  <si>
    <t>Verified 2 units. Clean condition, corrosion-free.</t>
  </si>
  <si>
    <t>Counting chamber Neubauer- Improved</t>
  </si>
  <si>
    <t>Precision glass grid hemocytometer chamber for accurate manual blood cell count under microscope.</t>
  </si>
  <si>
    <t>Verified 1 unit. Micro-grid lines crisp and clear.</t>
  </si>
  <si>
    <t>Cupboard Steel, Lockable</t>
  </si>
  <si>
    <t>Heavy-gauge metal storage cabinet with double doors and secure locking mechanism for clinical supplies.</t>
  </si>
  <si>
    <t>Verified 2 units. Key set and locking mechanisms verified.</t>
  </si>
  <si>
    <t>Drip Stand</t>
  </si>
  <si>
    <t>Height-adjustable mobile IV pole with 4-hook top and castors for patient intravenous therapy.</t>
  </si>
  <si>
    <t>Verified 8 units. All height adjustment locks operational.</t>
  </si>
  <si>
    <t>ESR Stand</t>
  </si>
  <si>
    <t>Vertical rack for holding Erythrocyte Sedimentation Rate tubes steadily during diagnostic testing.</t>
  </si>
  <si>
    <t>Verified 1 unit. Stable vertical alignment intact.</t>
  </si>
  <si>
    <t>Examination Couch</t>
  </si>
  <si>
    <t>Padded clinical examination bed with adjustable headrest section and washable vinyl upholstery.</t>
  </si>
  <si>
    <t>Verified 2 units. Upholstery clean, no tears.</t>
  </si>
  <si>
    <t>Examination light, LED</t>
  </si>
  <si>
    <t>Flexible gooseneck LED spot light on mobile stand for minor surgical procedures and diagnostics.</t>
  </si>
  <si>
    <t>Verified 2 units. LED brightness and gooseneck position stable.</t>
  </si>
  <si>
    <t>Glucometer</t>
  </si>
  <si>
    <t>Handheld digital point-of-care capillary blood glucose meter.</t>
  </si>
  <si>
    <t>Verified 2 units. Battery powered and tested with control strips.</t>
  </si>
  <si>
    <t>Haemoglobin Meter, Digital</t>
  </si>
  <si>
    <t>Portable digital analyzer (Hb meter) for rapid determination of blood hemoglobin concentration.</t>
  </si>
  <si>
    <t>Verified 2 units. Accurate calibration confirmed.</t>
  </si>
  <si>
    <t>Height Meter</t>
  </si>
  <si>
    <t>Stadiometer / wall-mountable or free-standing height measuring rod with sliding headpiece.</t>
  </si>
  <si>
    <t>Verified 1 unit. Metric scale clearly legible.</t>
  </si>
  <si>
    <t>Instrument Trolley</t>
  </si>
  <si>
    <t>Stainless steel 2-tier mobile trolley with guard rails for transporting sterile surgical instruments.</t>
  </si>
  <si>
    <t>Verified 2 units. Swivel castors moving smoothly.</t>
  </si>
  <si>
    <t>Microscope Binocular</t>
  </si>
  <si>
    <t>High-precision laboratory compound binocular microscope with LED illumination and multiple objective lenses.</t>
  </si>
  <si>
    <t>Verified 1 unit. Lenses clean, focus controls smooth.</t>
  </si>
  <si>
    <t>Mid Upper Arm Tape (MUAC)</t>
  </si>
  <si>
    <t>Color-coded flexible measuring tapes for evaluating nutritional status in infants/children.</t>
  </si>
  <si>
    <t>Verified 4 units. Graduations intact.</t>
  </si>
  <si>
    <t>Otoscope</t>
  </si>
  <si>
    <t>Handheld diagnostic illumination device for examining the external ear canal and tympanic membrane.</t>
  </si>
  <si>
    <t>Verified 1 unit. Fiber optic lighting operational.</t>
  </si>
  <si>
    <t>Patient Screen</t>
  </si>
  <si>
    <t>3-panel folding privacy screen with durable frame and washable curtains for patient rooms.</t>
  </si>
  <si>
    <t>Verified 4 units. Hinges and fabric panels intact.</t>
  </si>
  <si>
    <t>Patient Trolley</t>
  </si>
  <si>
    <t>Heavy-duty patient transfer stretcher/trolley equipped with side rails and brake castors.</t>
  </si>
  <si>
    <t>Verified 1 unit. Braking mechanism and drop-down rails functional.</t>
  </si>
  <si>
    <t>Refrigerator, Basic</t>
  </si>
  <si>
    <t>Compact medical/laboratory cooling unit for sample storage or basic pharmaceutical cold storage.</t>
  </si>
  <si>
    <t>Verified 4 units. Cooling temperatures maintained.</t>
  </si>
  <si>
    <t>Stethoscope</t>
  </si>
  <si>
    <t>Dual-head clinical acoustic stethoscope for cardiac and pulmonary auscultation.</t>
  </si>
  <si>
    <t>Verified 2 units. Diaphragm and eartips intact.</t>
  </si>
  <si>
    <t>Stop Watch</t>
  </si>
  <si>
    <t>High-precision digital timing device for laboratory assays and clinical diagnostic timing.</t>
  </si>
  <si>
    <t>Verified 1 unit. High value specialist digital timer system.</t>
  </si>
  <si>
    <t>Stretcher</t>
  </si>
  <si>
    <t>Emergency transport stretcher with folding poles and heavy-duty canvas/synthetic bed.</t>
  </si>
  <si>
    <t>Verified 1 unit. Canvas intact, handles sturdy.</t>
  </si>
  <si>
    <t>Stove, Gas</t>
  </si>
  <si>
    <t>Industrial/laboratory dual burner gas stove for sterilization water heating and facility utility.</t>
  </si>
  <si>
    <t>Verified 2 units. Burners and valves tested.</t>
  </si>
  <si>
    <t>Weighing Scale with Height Meter, Adult</t>
  </si>
  <si>
    <t>Mechanical column physician scale with integrated height rod and heavy base plate.</t>
  </si>
  <si>
    <t>Verified 2 units. Balance weight calibrated.</t>
  </si>
  <si>
    <t>Weighing Scale, Infant</t>
  </si>
  <si>
    <t>Pediatric tray scale with smooth curved cradle for safe weighing of newborn infants.</t>
  </si>
  <si>
    <t>Verified 2 units. Zero-tare adjustment working.</t>
  </si>
  <si>
    <t>Weighing Scale, Toddler</t>
  </si>
  <si>
    <t>Low-profile mechanical or digital spring scale for young children.</t>
  </si>
  <si>
    <t>Quantity listed as 0. No physical unit present.</t>
  </si>
  <si>
    <t>Wheel Chair</t>
  </si>
  <si>
    <t>Folding manual wheelchair with footrests and armrests for patient mobility.</t>
  </si>
  <si>
    <t>Quantity listed as 0. Not delivered / present.</t>
  </si>
  <si>
    <t>Audio Visual Equipment</t>
  </si>
  <si>
    <t>Multimedia presentation / public address equipment for health education and community outreach.</t>
  </si>
  <si>
    <t>Verified 7 units. All accessories and speakers present.</t>
  </si>
  <si>
    <t>Office Chair</t>
  </si>
  <si>
    <t>Ergonomic executive swivel office chair with padded armrests and height adjustment.</t>
  </si>
  <si>
    <t>Verified 3 units. Swivel and tilt mechanisms fine.</t>
  </si>
  <si>
    <t>Desk</t>
  </si>
  <si>
    <t>Wooden/metal executive office desk with integrated drawer units for administrative work.</t>
  </si>
  <si>
    <t>Verified 2 units. Drawers and surface in good condition.</t>
  </si>
  <si>
    <t>Filing Cabinet</t>
  </si>
  <si>
    <t>Multi-drawer metal lockable filing cabinet for medical record cards and administrative files.</t>
  </si>
  <si>
    <t>Verified 6 units. Drawers slide smoothly, locks present.</t>
  </si>
  <si>
    <t>Medical Waste Bin</t>
  </si>
  <si>
    <t>Color-coded hands-free foot pedal biohazard waste bin for segregation of infectious waste.</t>
  </si>
  <si>
    <t>Verified 4 units. Foot pedal mechanisms working.</t>
  </si>
  <si>
    <t>Wall Clock</t>
  </si>
  <si>
    <t>Standard analog wall-mounted clock for clinical ward time tracking.</t>
  </si>
  <si>
    <t>Quantity listed as 0. None present.</t>
  </si>
  <si>
    <t>Diagnostic Equipment Set for MCH</t>
  </si>
  <si>
    <t>Comprehensive maternal &amp; child health diagnostic kit (fetal stethoscope, tape, speculums, etc.).</t>
  </si>
  <si>
    <t>Verified 2 complete sets in MCH department.</t>
  </si>
  <si>
    <t>Diagnostic Equipment Set for OPD</t>
  </si>
  <si>
    <t>Outpatient department primary diagnostic kit including BP kit, thermometer, and torch.</t>
  </si>
  <si>
    <t>Verified 2 complete sets in OPD clinic.</t>
  </si>
  <si>
    <t>Glassware Set, Laboratory, Basic</t>
  </si>
  <si>
    <t>Assorted laboratory glassware including beakers, test tubes, graduated cylinders, and flasks.</t>
  </si>
  <si>
    <t>Verified 2 sets. No cracked or damaged pieces.</t>
  </si>
  <si>
    <t>Hollow Ware Set, Treatment</t>
  </si>
  <si>
    <t>Stainless steel renal trays, gallipots, and kidney dishes for procedure rooms.</t>
  </si>
  <si>
    <t>Quantity listed as 0. No stock delivered.</t>
  </si>
  <si>
    <t>Instrument Set, Dressing</t>
  </si>
  <si>
    <t>Surgical stainless steel dressing tray set (forceps, scissors, gallipots) for wound care.</t>
  </si>
  <si>
    <t>Verified 2 sets. Sterilizable stainless steel.</t>
  </si>
  <si>
    <t>Instrument Set, Basic ENT</t>
  </si>
  <si>
    <t>Specialized Ear, Nose &amp; Throat examination and minor intervention instrument set.</t>
  </si>
  <si>
    <t>Verified 3 sets. High grade stainless steel tools.</t>
  </si>
  <si>
    <t>Instrument Set, Suture</t>
  </si>
  <si>
    <t>Surgical wound closure kit including needle holder, tissue forceps, and stitch scissors.</t>
  </si>
  <si>
    <t>Quantity listed as 0. Not present.</t>
  </si>
  <si>
    <t>Pulse Oximeter, Hand held</t>
  </si>
  <si>
    <t>Portable digital pulse oximeter with finger probe for measuring SpO2 and pulse rate.</t>
  </si>
  <si>
    <t>Verified 2 units. Bright display, fast reading.</t>
  </si>
  <si>
    <t>Bed, Adult Patient with Mattress</t>
  </si>
  <si>
    <t>Standard hospital ward bed with backrest adjustment and waterproof covered foam mattress.</t>
  </si>
  <si>
    <t>Verified 10 units. Installed in main inpatient ward.</t>
  </si>
  <si>
    <t>Bed, Pediatric Patient, With Mattress</t>
  </si>
  <si>
    <t>Pediatric ward bed featuring safety side rails and comfortable waterproof mattress.</t>
  </si>
  <si>
    <t>Verified 5 units. Side safety guards fully functional.</t>
  </si>
  <si>
    <t>Bedside Locker</t>
  </si>
  <si>
    <t>Patient bedside storage cabinet with top surface, drawer, and cupboard compartment.</t>
  </si>
  <si>
    <t>Quantity listed as 0. Not delivered.</t>
  </si>
  <si>
    <t>Cupboard, Instrument</t>
  </si>
  <si>
    <t>Glass-fronted tall medical cupboard for visible organized storage of sterile instruments.</t>
  </si>
  <si>
    <t>Verified 1 unit. Glass panels intact and clean.</t>
  </si>
  <si>
    <t>Delivery Bed, Hydraulic Manual</t>
  </si>
  <si>
    <t>Multi-section obstetric delivery bed with hydraulic height adjustment and leg supports.</t>
  </si>
  <si>
    <t>Verified 1 unit. Hydraulic foot lever tested.</t>
  </si>
  <si>
    <t>Oxygen Therapy Apparatus, Minimum 45L cylinder</t>
  </si>
  <si>
    <t>High capacity 45L medical oxygen cylinder complete with flowmeter, regulator, and humidifier.</t>
  </si>
  <si>
    <t>Quantity listed as 0. Cylinder unit not supplied.</t>
  </si>
  <si>
    <t>Resuscitation Manual, Infant, with all Mask sizes</t>
  </si>
  <si>
    <t>Neonatal silicone manual resuscitator (Ambu bag) with multi-sized infant face masks.</t>
  </si>
  <si>
    <t>Verified 2 sets. Silicone valves resilient, no leaks.</t>
  </si>
  <si>
    <t>Resuscitation Manual, Adult, with all mask sizes</t>
  </si>
  <si>
    <t>Adult manual resuscitation bag with transparent face masks and safety pressure valve.</t>
  </si>
  <si>
    <t>Verified 2 sets. Complete with masks and reservoir.</t>
  </si>
  <si>
    <t>Suction Apparatus, (Electric)</t>
  </si>
  <si>
    <t>Heavy-duty electric suction pump with dual overflow jar system for airway clearance.</t>
  </si>
  <si>
    <t>Verified 2 units. Vacuum pressure output confirmed.</t>
  </si>
  <si>
    <t>Nebulizer, Ultrasonic</t>
  </si>
  <si>
    <t>High-efficiency ultrasonic nebulizer machine for respiratory aerosol medication delivery.</t>
  </si>
  <si>
    <t>Verified 2 units. High mist generation working.</t>
  </si>
  <si>
    <t>Oxygen Concentrator, Duo Flow</t>
  </si>
  <si>
    <t>Dual-outlet medical oxygen concentrator delivering continuous high-purity oxygen.</t>
  </si>
  <si>
    <t>Verified 1 unit. Dual flow outlets tested.</t>
  </si>
  <si>
    <t>Bench</t>
  </si>
  <si>
    <t>Heavy-duty 3-to-4 seater wooden/metal waiting bench for OPD and patient triage areas.</t>
  </si>
  <si>
    <t>Verified 4 units. Sturdy structural frame.</t>
  </si>
  <si>
    <t>Disinfection Buckets</t>
  </si>
  <si>
    <t>Heavy-grade chemical resistant buckets for instrument cold sterilization and disinfection.</t>
  </si>
  <si>
    <t>Verified 4 units. Covers and handles intact.</t>
  </si>
  <si>
    <t>Baby Cot</t>
  </si>
  <si>
    <t>Infant sleeping cot with surrounding safety bars for maternity and pediatric wards.</t>
  </si>
  <si>
    <t>Verified 6 units. Bars intact, clean condition.</t>
  </si>
  <si>
    <t>Diagnostic Equipment Set for Ward</t>
  </si>
  <si>
    <t>Comprehensive clinical ward diagnostic set (thermometers, BP units, reflex hammers).</t>
  </si>
  <si>
    <t>Verified 5 sets distributed across clinical wards.</t>
  </si>
  <si>
    <t>Hollow Ware Set, Ward</t>
  </si>
  <si>
    <t>Stainless steel bedpans, urinals, and wash basins for inpatient ward nursing care.</t>
  </si>
  <si>
    <t>Verified 3 sets. High-grade stainless steel.</t>
  </si>
  <si>
    <t>Instrument Set, Delivery</t>
  </si>
  <si>
    <t>Complete surgical delivery kit (episiotomy scissors, artery forceps, umbilical clamps).</t>
  </si>
  <si>
    <t>Verified 3 sets in Maternity ward.</t>
  </si>
  <si>
    <t>Instrument Set, Stitch Removing</t>
  </si>
  <si>
    <t>Suture removal kit featuring fine stitch scissors and anatomical dissection forceps.</t>
  </si>
  <si>
    <t>Verified 3 sets in Minor theatre / dressing room.</t>
  </si>
  <si>
    <t>MVA Kit</t>
  </si>
  <si>
    <t>Manual Vacuum Aspiration kit with double-valve aspirators and flexible flexible cannulae.</t>
  </si>
  <si>
    <t>Verified 4 kits. Valves seal firmly.</t>
  </si>
  <si>
    <t>Stool, Laboratory</t>
  </si>
  <si>
    <t>Adjustable height round lab stool with chemical-resistant seat cover for benchwork.</t>
  </si>
  <si>
    <t>Verified 1 unit. Height spindle rotates smoothly.</t>
  </si>
  <si>
    <t>Penguin Sucker</t>
  </si>
  <si>
    <t>Reusable suction bulb made of silicone for clearing newborn nasal and oral airways.</t>
  </si>
  <si>
    <t>Verified 3 units. Soft, squeezable silicone intact.</t>
  </si>
  <si>
    <t>Fetoscope, Doppler</t>
  </si>
  <si>
    <t>Handheld acoustic Pinard fetoscope / electronic ultrasonic fetal doppler detector.</t>
  </si>
  <si>
    <t>Verified 2 units. Clear heart sound detection.</t>
  </si>
  <si>
    <t>Bubble CPAP</t>
  </si>
  <si>
    <t>Continuous Positive Airway Pressure machine designed for neonatal respiratory distress support.</t>
  </si>
  <si>
    <t>Verified 2 units. Pressure generator and circuit ready.</t>
  </si>
  <si>
    <t>Centrifuge (Electric)</t>
  </si>
  <si>
    <t>Electric benchtop laboratory centrifuge for blood and urine sample separation.</t>
  </si>
  <si>
    <t>Verified 2 units. Rotor balance and speed control tested.</t>
  </si>
  <si>
    <t>Kangaroo Mother Care Chair</t>
  </si>
  <si>
    <t>Specially contoured reclining comfort armchair for continuous skin-to-skin KMC care.</t>
  </si>
  <si>
    <t>Verified 1 unit located in Neonatal/KMC area.</t>
  </si>
  <si>
    <t>Radiant Infant Warmer</t>
  </si>
  <si>
    <t>Microprocessor-controlled infant warming bed with overhead radiant heating element.</t>
  </si>
  <si>
    <t>Quantity listed as 0. Unit not delivered to site.</t>
  </si>
  <si>
    <t>TOTAL</t>
  </si>
</sst>
</file>

<file path=xl/styles.xml><?xml version="1.0" encoding="utf-8"?>
<styleSheet xmlns="http://schemas.openxmlformats.org/spreadsheetml/2006/main">
  <numFmts count="3">
    <numFmt numFmtId="0" formatCode="General"/>
    <numFmt numFmtId="3" formatCode="#,##0"/>
    <numFmt numFmtId="164" formatCode="#,##0;(#,##0);&quot;-&quot;"/>
  </numFmts>
  <fonts count="5">
    <font>
      <name val="Calibri"/>
      <sz val="11"/>
    </font>
    <font>
      <name val="Calibri"/>
      <b/>
      <sz val="14"/>
    </font>
    <font>
      <name val="Calibri"/>
      <b/>
      <sz val="11"/>
    </font>
    <font>
      <name val="Calibri"/>
      <sz val="11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Alignment="1">
      <alignment vertical="bottom"/>
    </xf>
    <xf numFmtId="0" fontId="3" fillId="0" borderId="0" xfId="0" applyAlignment="1">
      <alignment vertical="bottom"/>
    </xf>
    <xf numFmtId="0" fontId="2" fillId="0" borderId="1" xfId="0" applyAlignment="1">
      <alignment horizontal="center" vertical="center"/>
    </xf>
    <xf numFmtId="0" fontId="2" fillId="0" borderId="1" xfId="0" applyAlignment="1">
      <alignment horizontal="left" vertical="center"/>
    </xf>
    <xf numFmtId="0" fontId="2" fillId="0" borderId="1" xfId="0" applyAlignment="1">
      <alignment horizontal="right" vertical="center"/>
    </xf>
    <xf numFmtId="0" fontId="3" fillId="0" borderId="2" xfId="0" applyAlignment="1">
      <alignment horizontal="center" vertical="center"/>
    </xf>
    <xf numFmtId="0" fontId="3" fillId="0" borderId="2" xfId="0" applyAlignment="1">
      <alignment horizontal="left" vertical="center"/>
    </xf>
    <xf numFmtId="3" fontId="3" fillId="0" borderId="2" xfId="0" applyAlignment="1">
      <alignment horizontal="center" vertical="center"/>
    </xf>
    <xf numFmtId="3" fontId="3" fillId="0" borderId="2" xfId="0" applyAlignment="1">
      <alignment horizontal="right" vertical="center"/>
    </xf>
    <xf numFmtId="164" fontId="3" fillId="0" borderId="2" xfId="0" applyAlignment="1">
      <alignment horizontal="right" vertical="center"/>
    </xf>
    <xf numFmtId="0" fontId="3" fillId="0" borderId="2" xfId="0" applyAlignment="1">
      <alignment horizontal="left" vertical="center" wrapText="1"/>
    </xf>
    <xf numFmtId="0" fontId="3" fillId="0" borderId="2" xfId="0" applyAlignment="1">
      <alignment horizontal="right" vertical="center"/>
    </xf>
    <xf numFmtId="0" fontId="4" fillId="0" borderId="3" xfId="0" applyAlignment="1">
      <alignment vertical="bottom"/>
    </xf>
    <xf numFmtId="0" fontId="2" fillId="0" borderId="3" xfId="0" applyAlignment="1">
      <alignment horizontal="left" vertical="center"/>
    </xf>
    <xf numFmtId="3" fontId="2" fillId="0" borderId="3" xfId="0" applyAlignment="1">
      <alignment horizontal="center" vertical="center"/>
    </xf>
    <xf numFmtId="3" fontId="2" fillId="0" borderId="3" xfId="0" applyAlignment="1">
      <alignment horizontal="right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79"/>
  <sheetViews>
    <sheetView workbookViewId="0">
      <selection activeCell="A1" sqref="A1:H1"/>
    </sheetView>
  </sheetViews>
  <sheetFormatPr defaultRowHeight="15.0" defaultColWidth="10"/>
  <cols>
    <col min="1" max="1" customWidth="1" width="8.0" style="0"/>
    <col min="2" max="2" customWidth="1" width="35.0" style="0"/>
    <col min="3" max="3" customWidth="1" width="10.0" style="0"/>
    <col min="4" max="4" customWidth="1" width="18.0" style="0"/>
    <col min="5" max="5" customWidth="1" width="20.0" style="0"/>
    <col min="6" max="6" customWidth="1" width="45.0" style="0"/>
    <col min="7" max="7" customWidth="1" width="22.0" style="0"/>
    <col min="8" max="8" customWidth="1" width="40.0" style="0"/>
  </cols>
  <sheetData>
    <row r="1" spans="8:8">
      <c r="A1" s="1" t="s">
        <v>0</v>
      </c>
    </row>
    <row r="3" spans="8:8">
      <c r="A3" s="2" t="s">
        <v>1</v>
      </c>
      <c r="B3" s="3" t="s">
        <v>2</v>
      </c>
    </row>
    <row r="4" spans="8:8">
      <c r="A4" s="2" t="s">
        <v>3</v>
      </c>
      <c r="B4" s="3" t="s">
        <v>4</v>
      </c>
    </row>
    <row r="5" spans="8:8">
      <c r="A5" s="2" t="s">
        <v>5</v>
      </c>
      <c r="B5" s="3" t="s">
        <v>6</v>
      </c>
    </row>
    <row r="6" spans="8:8">
      <c r="A6" s="2" t="s">
        <v>7</v>
      </c>
      <c r="B6" s="3" t="s">
        <v>8</v>
      </c>
    </row>
    <row r="7" spans="8:8">
      <c r="A7" s="2" t="s">
        <v>9</v>
      </c>
      <c r="B7" s="3" t="s">
        <v>10</v>
      </c>
    </row>
    <row r="9" spans="8:8">
      <c r="A9" s="4" t="s">
        <v>11</v>
      </c>
      <c r="B9" s="5" t="s">
        <v>12</v>
      </c>
      <c r="C9" s="4" t="s">
        <v>13</v>
      </c>
      <c r="D9" s="6" t="s">
        <v>14</v>
      </c>
      <c r="E9" s="6" t="s">
        <v>15</v>
      </c>
      <c r="F9" s="5" t="s">
        <v>16</v>
      </c>
      <c r="G9" s="4" t="s">
        <v>17</v>
      </c>
      <c r="H9" s="5" t="s">
        <v>18</v>
      </c>
    </row>
    <row r="10" spans="8:8">
      <c r="A10" s="7">
        <v>1.0</v>
      </c>
      <c r="B10" s="8" t="s">
        <v>19</v>
      </c>
      <c r="C10" s="9">
        <v>2.0</v>
      </c>
      <c r="D10" s="10">
        <v>350000.0</v>
      </c>
      <c r="E10" s="11">
        <f>IF(ISNUMBER(C10),IF(ISNUMBER(D10),C10*D10,0),0)</f>
        <v>700000.0</v>
      </c>
      <c r="F10" s="12" t="s">
        <v>20</v>
      </c>
      <c r="G10" s="7" t="s">
        <v>21</v>
      </c>
      <c r="H10" s="12" t="s">
        <v>22</v>
      </c>
    </row>
    <row r="11" spans="8:8">
      <c r="A11" s="7">
        <v>2.0</v>
      </c>
      <c r="B11" s="8" t="s">
        <v>23</v>
      </c>
      <c r="C11" s="9">
        <v>2.0</v>
      </c>
      <c r="D11" s="10">
        <v>700000.0</v>
      </c>
      <c r="E11" s="11">
        <f>IF(ISNUMBER(C11),IF(ISNUMBER(D11),C11*D11,0),0)</f>
        <v>1400000.0</v>
      </c>
      <c r="F11" s="12" t="s">
        <v>24</v>
      </c>
      <c r="G11" s="7" t="s">
        <v>21</v>
      </c>
      <c r="H11" s="12" t="s">
        <v>25</v>
      </c>
    </row>
    <row r="12" spans="8:8">
      <c r="A12" s="7">
        <v>3.0</v>
      </c>
      <c r="B12" s="8" t="s">
        <v>26</v>
      </c>
      <c r="C12" s="9">
        <v>0.0</v>
      </c>
      <c r="D12" s="13" t="s">
        <v>27</v>
      </c>
      <c r="E12" s="11">
        <f>IF(ISNUMBER(C12),IF(ISNUMBER(D12),C12*D12,0),0)</f>
        <v>0.0</v>
      </c>
      <c r="F12" s="12" t="s">
        <v>28</v>
      </c>
      <c r="G12" s="7" t="s">
        <v>29</v>
      </c>
      <c r="H12" s="12" t="s">
        <v>30</v>
      </c>
    </row>
    <row r="13" spans="8:8">
      <c r="A13" s="7">
        <v>4.0</v>
      </c>
      <c r="B13" s="8" t="s">
        <v>31</v>
      </c>
      <c r="C13" s="9">
        <v>1.0</v>
      </c>
      <c r="D13" s="10">
        <v>200000.0</v>
      </c>
      <c r="E13" s="11">
        <f>IF(ISNUMBER(C13),IF(ISNUMBER(D13),C13*D13,0),0)</f>
        <v>200000.0</v>
      </c>
      <c r="F13" s="12" t="s">
        <v>32</v>
      </c>
      <c r="G13" s="7" t="s">
        <v>21</v>
      </c>
      <c r="H13" s="12" t="s">
        <v>33</v>
      </c>
    </row>
    <row r="14" spans="8:8">
      <c r="A14" s="7">
        <v>5.0</v>
      </c>
      <c r="B14" s="8" t="s">
        <v>34</v>
      </c>
      <c r="C14" s="9">
        <v>2.0</v>
      </c>
      <c r="D14" s="10">
        <v>600000.0</v>
      </c>
      <c r="E14" s="11">
        <f>IF(ISNUMBER(C14),IF(ISNUMBER(D14),C14*D14,0),0)</f>
        <v>1200000.0</v>
      </c>
      <c r="F14" s="12" t="s">
        <v>35</v>
      </c>
      <c r="G14" s="7" t="s">
        <v>21</v>
      </c>
      <c r="H14" s="12" t="s">
        <v>36</v>
      </c>
    </row>
    <row r="15" spans="8:8">
      <c r="A15" s="7">
        <v>6.0</v>
      </c>
      <c r="B15" s="8" t="s">
        <v>37</v>
      </c>
      <c r="C15" s="9">
        <v>1.0</v>
      </c>
      <c r="D15" s="10">
        <v>40000.0</v>
      </c>
      <c r="E15" s="11">
        <f>IF(ISNUMBER(C15),IF(ISNUMBER(D15),C15*D15,0),0)</f>
        <v>40000.0</v>
      </c>
      <c r="F15" s="12" t="s">
        <v>38</v>
      </c>
      <c r="G15" s="7" t="s">
        <v>21</v>
      </c>
      <c r="H15" s="12" t="s">
        <v>39</v>
      </c>
    </row>
    <row r="16" spans="8:8">
      <c r="A16" s="7">
        <v>7.0</v>
      </c>
      <c r="B16" s="8" t="s">
        <v>40</v>
      </c>
      <c r="C16" s="9">
        <v>2.0</v>
      </c>
      <c r="D16" s="10">
        <v>1200000.0</v>
      </c>
      <c r="E16" s="11">
        <f>IF(ISNUMBER(C16),IF(ISNUMBER(D16),C16*D16,0),0)</f>
        <v>2400000.0</v>
      </c>
      <c r="F16" s="12" t="s">
        <v>41</v>
      </c>
      <c r="G16" s="7" t="s">
        <v>21</v>
      </c>
      <c r="H16" s="12" t="s">
        <v>42</v>
      </c>
    </row>
    <row r="17" spans="8:8">
      <c r="A17" s="7">
        <v>8.0</v>
      </c>
      <c r="B17" s="8" t="s">
        <v>43</v>
      </c>
      <c r="C17" s="9">
        <v>8.0</v>
      </c>
      <c r="D17" s="10">
        <v>150000.0</v>
      </c>
      <c r="E17" s="11">
        <f>IF(ISNUMBER(C17),IF(ISNUMBER(D17),C17*D17,0),0)</f>
        <v>1200000.0</v>
      </c>
      <c r="F17" s="12" t="s">
        <v>44</v>
      </c>
      <c r="G17" s="7" t="s">
        <v>21</v>
      </c>
      <c r="H17" s="12" t="s">
        <v>45</v>
      </c>
    </row>
    <row r="18" spans="8:8">
      <c r="A18" s="7">
        <v>9.0</v>
      </c>
      <c r="B18" s="8" t="s">
        <v>46</v>
      </c>
      <c r="C18" s="9">
        <v>1.0</v>
      </c>
      <c r="D18" s="10">
        <v>150000.0</v>
      </c>
      <c r="E18" s="11">
        <f>IF(ISNUMBER(C18),IF(ISNUMBER(D18),C18*D18,0),0)</f>
        <v>150000.0</v>
      </c>
      <c r="F18" s="12" t="s">
        <v>47</v>
      </c>
      <c r="G18" s="7" t="s">
        <v>21</v>
      </c>
      <c r="H18" s="12" t="s">
        <v>48</v>
      </c>
    </row>
    <row r="19" spans="8:8">
      <c r="A19" s="7">
        <v>10.0</v>
      </c>
      <c r="B19" s="8" t="s">
        <v>49</v>
      </c>
      <c r="C19" s="9">
        <v>2.0</v>
      </c>
      <c r="D19" s="10">
        <v>700000.0</v>
      </c>
      <c r="E19" s="11">
        <f>IF(ISNUMBER(C19),IF(ISNUMBER(D19),C19*D19,0),0)</f>
        <v>1400000.0</v>
      </c>
      <c r="F19" s="12" t="s">
        <v>50</v>
      </c>
      <c r="G19" s="7" t="s">
        <v>21</v>
      </c>
      <c r="H19" s="12" t="s">
        <v>51</v>
      </c>
    </row>
    <row r="20" spans="8:8">
      <c r="A20" s="7">
        <v>11.0</v>
      </c>
      <c r="B20" s="8" t="s">
        <v>52</v>
      </c>
      <c r="C20" s="9">
        <v>2.0</v>
      </c>
      <c r="D20" s="10">
        <v>450000.0</v>
      </c>
      <c r="E20" s="11">
        <f>IF(ISNUMBER(C20),IF(ISNUMBER(D20),C20*D20,0),0)</f>
        <v>900000.0</v>
      </c>
      <c r="F20" s="12" t="s">
        <v>53</v>
      </c>
      <c r="G20" s="7" t="s">
        <v>21</v>
      </c>
      <c r="H20" s="12" t="s">
        <v>54</v>
      </c>
    </row>
    <row r="21" spans="8:8">
      <c r="A21" s="7">
        <v>12.0</v>
      </c>
      <c r="B21" s="8" t="s">
        <v>55</v>
      </c>
      <c r="C21" s="9">
        <v>2.0</v>
      </c>
      <c r="D21" s="10">
        <v>180000.0</v>
      </c>
      <c r="E21" s="11">
        <f>IF(ISNUMBER(C21),IF(ISNUMBER(D21),C21*D21,0),0)</f>
        <v>360000.0</v>
      </c>
      <c r="F21" s="12" t="s">
        <v>56</v>
      </c>
      <c r="G21" s="7" t="s">
        <v>21</v>
      </c>
      <c r="H21" s="12" t="s">
        <v>57</v>
      </c>
    </row>
    <row r="22" spans="8:8">
      <c r="A22" s="7">
        <v>13.0</v>
      </c>
      <c r="B22" s="8" t="s">
        <v>58</v>
      </c>
      <c r="C22" s="9">
        <v>2.0</v>
      </c>
      <c r="D22" s="10">
        <v>850000.0</v>
      </c>
      <c r="E22" s="11">
        <f>IF(ISNUMBER(C22),IF(ISNUMBER(D22),C22*D22,0),0)</f>
        <v>1700000.0</v>
      </c>
      <c r="F22" s="12" t="s">
        <v>59</v>
      </c>
      <c r="G22" s="7" t="s">
        <v>21</v>
      </c>
      <c r="H22" s="12" t="s">
        <v>60</v>
      </c>
    </row>
    <row r="23" spans="8:8">
      <c r="A23" s="7">
        <v>14.0</v>
      </c>
      <c r="B23" s="8" t="s">
        <v>61</v>
      </c>
      <c r="C23" s="9">
        <v>1.0</v>
      </c>
      <c r="D23" s="10">
        <v>250000.0</v>
      </c>
      <c r="E23" s="11">
        <f>IF(ISNUMBER(C23),IF(ISNUMBER(D23),C23*D23,0),0)</f>
        <v>250000.0</v>
      </c>
      <c r="F23" s="12" t="s">
        <v>62</v>
      </c>
      <c r="G23" s="7" t="s">
        <v>21</v>
      </c>
      <c r="H23" s="12" t="s">
        <v>63</v>
      </c>
    </row>
    <row r="24" spans="8:8">
      <c r="A24" s="7">
        <v>15.0</v>
      </c>
      <c r="B24" s="8" t="s">
        <v>64</v>
      </c>
      <c r="C24" s="9">
        <v>2.0</v>
      </c>
      <c r="D24" s="10">
        <v>750000.0</v>
      </c>
      <c r="E24" s="11">
        <f>IF(ISNUMBER(C24),IF(ISNUMBER(D24),C24*D24,0),0)</f>
        <v>1500000.0</v>
      </c>
      <c r="F24" s="12" t="s">
        <v>65</v>
      </c>
      <c r="G24" s="7" t="s">
        <v>21</v>
      </c>
      <c r="H24" s="12" t="s">
        <v>66</v>
      </c>
    </row>
    <row r="25" spans="8:8">
      <c r="A25" s="7">
        <v>16.0</v>
      </c>
      <c r="B25" s="8" t="s">
        <v>67</v>
      </c>
      <c r="C25" s="9">
        <v>1.0</v>
      </c>
      <c r="D25" s="10">
        <v>3000000.0</v>
      </c>
      <c r="E25" s="11">
        <f>IF(ISNUMBER(C25),IF(ISNUMBER(D25),C25*D25,0),0)</f>
        <v>3000000.0</v>
      </c>
      <c r="F25" s="12" t="s">
        <v>68</v>
      </c>
      <c r="G25" s="7" t="s">
        <v>21</v>
      </c>
      <c r="H25" s="12" t="s">
        <v>69</v>
      </c>
    </row>
    <row r="26" spans="8:8">
      <c r="A26" s="7">
        <v>17.0</v>
      </c>
      <c r="B26" s="8" t="s">
        <v>70</v>
      </c>
      <c r="C26" s="9">
        <v>4.0</v>
      </c>
      <c r="D26" s="10">
        <v>5000.0</v>
      </c>
      <c r="E26" s="11">
        <f>IF(ISNUMBER(C26),IF(ISNUMBER(D26),C26*D26,0),0)</f>
        <v>20000.0</v>
      </c>
      <c r="F26" s="12" t="s">
        <v>71</v>
      </c>
      <c r="G26" s="7" t="s">
        <v>21</v>
      </c>
      <c r="H26" s="12" t="s">
        <v>72</v>
      </c>
    </row>
    <row r="27" spans="8:8">
      <c r="A27" s="7">
        <v>18.0</v>
      </c>
      <c r="B27" s="8" t="s">
        <v>73</v>
      </c>
      <c r="C27" s="9">
        <v>1.0</v>
      </c>
      <c r="D27" s="10">
        <v>350000.0</v>
      </c>
      <c r="E27" s="11">
        <f>IF(ISNUMBER(C27),IF(ISNUMBER(D27),C27*D27,0),0)</f>
        <v>350000.0</v>
      </c>
      <c r="F27" s="12" t="s">
        <v>74</v>
      </c>
      <c r="G27" s="7" t="s">
        <v>21</v>
      </c>
      <c r="H27" s="12" t="s">
        <v>75</v>
      </c>
    </row>
    <row r="28" spans="8:8">
      <c r="A28" s="7">
        <v>19.0</v>
      </c>
      <c r="B28" s="8" t="s">
        <v>76</v>
      </c>
      <c r="C28" s="9">
        <v>4.0</v>
      </c>
      <c r="D28" s="10">
        <v>500000.0</v>
      </c>
      <c r="E28" s="11">
        <f>IF(ISNUMBER(C28),IF(ISNUMBER(D28),C28*D28,0),0)</f>
        <v>2000000.0</v>
      </c>
      <c r="F28" s="12" t="s">
        <v>77</v>
      </c>
      <c r="G28" s="7" t="s">
        <v>21</v>
      </c>
      <c r="H28" s="12" t="s">
        <v>78</v>
      </c>
    </row>
    <row r="29" spans="8:8">
      <c r="A29" s="7">
        <v>20.0</v>
      </c>
      <c r="B29" s="8" t="s">
        <v>79</v>
      </c>
      <c r="C29" s="9">
        <v>1.0</v>
      </c>
      <c r="D29" s="10">
        <v>4000000.0</v>
      </c>
      <c r="E29" s="11">
        <f>IF(ISNUMBER(C29),IF(ISNUMBER(D29),C29*D29,0),0)</f>
        <v>4000000.0</v>
      </c>
      <c r="F29" s="12" t="s">
        <v>80</v>
      </c>
      <c r="G29" s="7" t="s">
        <v>21</v>
      </c>
      <c r="H29" s="12" t="s">
        <v>81</v>
      </c>
    </row>
    <row r="30" spans="8:8">
      <c r="A30" s="7">
        <v>21.0</v>
      </c>
      <c r="B30" s="8" t="s">
        <v>82</v>
      </c>
      <c r="C30" s="9">
        <v>4.0</v>
      </c>
      <c r="D30" s="10">
        <v>120000.0</v>
      </c>
      <c r="E30" s="11">
        <f>IF(ISNUMBER(C30),IF(ISNUMBER(D30),C30*D30,0),0)</f>
        <v>480000.0</v>
      </c>
      <c r="F30" s="12" t="s">
        <v>83</v>
      </c>
      <c r="G30" s="7" t="s">
        <v>21</v>
      </c>
      <c r="H30" s="12" t="s">
        <v>84</v>
      </c>
    </row>
    <row r="31" spans="8:8">
      <c r="A31" s="7">
        <v>22.0</v>
      </c>
      <c r="B31" s="8" t="s">
        <v>85</v>
      </c>
      <c r="C31" s="9">
        <v>2.0</v>
      </c>
      <c r="D31" s="10">
        <v>40000.0</v>
      </c>
      <c r="E31" s="11">
        <f>IF(ISNUMBER(C31),IF(ISNUMBER(D31),C31*D31,0),0)</f>
        <v>80000.0</v>
      </c>
      <c r="F31" s="12" t="s">
        <v>86</v>
      </c>
      <c r="G31" s="7" t="s">
        <v>21</v>
      </c>
      <c r="H31" s="12" t="s">
        <v>87</v>
      </c>
    </row>
    <row r="32" spans="8:8">
      <c r="A32" s="7">
        <v>23.0</v>
      </c>
      <c r="B32" s="8" t="s">
        <v>88</v>
      </c>
      <c r="C32" s="9">
        <v>1.0</v>
      </c>
      <c r="D32" s="10">
        <v>4500000.0</v>
      </c>
      <c r="E32" s="11">
        <f>IF(ISNUMBER(C32),IF(ISNUMBER(D32),C32*D32,0),0)</f>
        <v>4500000.0</v>
      </c>
      <c r="F32" s="12" t="s">
        <v>89</v>
      </c>
      <c r="G32" s="7" t="s">
        <v>21</v>
      </c>
      <c r="H32" s="12" t="s">
        <v>90</v>
      </c>
    </row>
    <row r="33" spans="8:8">
      <c r="A33" s="7">
        <v>24.0</v>
      </c>
      <c r="B33" s="8" t="s">
        <v>91</v>
      </c>
      <c r="C33" s="9">
        <v>1.0</v>
      </c>
      <c r="D33" s="10">
        <v>350000.0</v>
      </c>
      <c r="E33" s="11">
        <f>IF(ISNUMBER(C33),IF(ISNUMBER(D33),C33*D33,0),0)</f>
        <v>350000.0</v>
      </c>
      <c r="F33" s="12" t="s">
        <v>92</v>
      </c>
      <c r="G33" s="7" t="s">
        <v>21</v>
      </c>
      <c r="H33" s="12" t="s">
        <v>93</v>
      </c>
    </row>
    <row r="34" spans="8:8">
      <c r="A34" s="7">
        <v>25.0</v>
      </c>
      <c r="B34" s="8" t="s">
        <v>94</v>
      </c>
      <c r="C34" s="9">
        <v>2.0</v>
      </c>
      <c r="D34" s="10">
        <v>450000.0</v>
      </c>
      <c r="E34" s="11">
        <f>IF(ISNUMBER(C34),IF(ISNUMBER(D34),C34*D34,0),0)</f>
        <v>900000.0</v>
      </c>
      <c r="F34" s="12" t="s">
        <v>95</v>
      </c>
      <c r="G34" s="7" t="s">
        <v>21</v>
      </c>
      <c r="H34" s="12" t="s">
        <v>96</v>
      </c>
    </row>
    <row r="35" spans="8:8">
      <c r="A35" s="7">
        <v>26.0</v>
      </c>
      <c r="B35" s="8" t="s">
        <v>97</v>
      </c>
      <c r="C35" s="9">
        <v>2.0</v>
      </c>
      <c r="D35" s="10">
        <v>300000.0</v>
      </c>
      <c r="E35" s="11">
        <f>IF(ISNUMBER(C35),IF(ISNUMBER(D35),C35*D35,0),0)</f>
        <v>600000.0</v>
      </c>
      <c r="F35" s="12" t="s">
        <v>98</v>
      </c>
      <c r="G35" s="7" t="s">
        <v>21</v>
      </c>
      <c r="H35" s="12" t="s">
        <v>99</v>
      </c>
    </row>
    <row r="36" spans="8:8">
      <c r="A36" s="7">
        <v>27.0</v>
      </c>
      <c r="B36" s="8" t="s">
        <v>100</v>
      </c>
      <c r="C36" s="9">
        <v>2.0</v>
      </c>
      <c r="D36" s="10">
        <v>150000.0</v>
      </c>
      <c r="E36" s="11">
        <f>IF(ISNUMBER(C36),IF(ISNUMBER(D36),C36*D36,0),0)</f>
        <v>300000.0</v>
      </c>
      <c r="F36" s="12" t="s">
        <v>101</v>
      </c>
      <c r="G36" s="7" t="s">
        <v>21</v>
      </c>
      <c r="H36" s="12" t="s">
        <v>102</v>
      </c>
    </row>
    <row r="37" spans="8:8">
      <c r="A37" s="7">
        <v>28.0</v>
      </c>
      <c r="B37" s="8" t="s">
        <v>103</v>
      </c>
      <c r="C37" s="9">
        <v>0.0</v>
      </c>
      <c r="D37" s="13" t="s">
        <v>27</v>
      </c>
      <c r="E37" s="11">
        <f>IF(ISNUMBER(C37),IF(ISNUMBER(D37),C37*D37,0),0)</f>
        <v>0.0</v>
      </c>
      <c r="F37" s="12" t="s">
        <v>104</v>
      </c>
      <c r="G37" s="7" t="s">
        <v>29</v>
      </c>
      <c r="H37" s="12" t="s">
        <v>105</v>
      </c>
    </row>
    <row r="38" spans="8:8">
      <c r="A38" s="7">
        <v>29.0</v>
      </c>
      <c r="B38" s="8" t="s">
        <v>106</v>
      </c>
      <c r="C38" s="9">
        <v>0.0</v>
      </c>
      <c r="D38" s="13" t="s">
        <v>27</v>
      </c>
      <c r="E38" s="11">
        <f>IF(ISNUMBER(C38),IF(ISNUMBER(D38),C38*D38,0),0)</f>
        <v>0.0</v>
      </c>
      <c r="F38" s="12" t="s">
        <v>107</v>
      </c>
      <c r="G38" s="7" t="s">
        <v>29</v>
      </c>
      <c r="H38" s="12" t="s">
        <v>108</v>
      </c>
    </row>
    <row r="39" spans="8:8">
      <c r="A39" s="7">
        <v>30.0</v>
      </c>
      <c r="B39" s="8" t="s">
        <v>109</v>
      </c>
      <c r="C39" s="9">
        <v>7.0</v>
      </c>
      <c r="D39" s="10">
        <v>600000.0</v>
      </c>
      <c r="E39" s="11">
        <f>IF(ISNUMBER(C39),IF(ISNUMBER(D39),C39*D39,0),0)</f>
        <v>4200000.0</v>
      </c>
      <c r="F39" s="12" t="s">
        <v>110</v>
      </c>
      <c r="G39" s="7" t="s">
        <v>21</v>
      </c>
      <c r="H39" s="12" t="s">
        <v>111</v>
      </c>
    </row>
    <row r="40" spans="8:8">
      <c r="A40" s="7">
        <v>31.0</v>
      </c>
      <c r="B40" s="8" t="s">
        <v>112</v>
      </c>
      <c r="C40" s="9">
        <v>3.0</v>
      </c>
      <c r="D40" s="10">
        <v>1000000.0</v>
      </c>
      <c r="E40" s="11">
        <f>IF(ISNUMBER(C40),IF(ISNUMBER(D40),C40*D40,0),0)</f>
        <v>3000000.0</v>
      </c>
      <c r="F40" s="12" t="s">
        <v>113</v>
      </c>
      <c r="G40" s="7" t="s">
        <v>21</v>
      </c>
      <c r="H40" s="12" t="s">
        <v>114</v>
      </c>
    </row>
    <row r="41" spans="8:8">
      <c r="A41" s="7">
        <v>32.0</v>
      </c>
      <c r="B41" s="8" t="s">
        <v>115</v>
      </c>
      <c r="C41" s="9">
        <v>2.0</v>
      </c>
      <c r="D41" s="10">
        <v>900000.0</v>
      </c>
      <c r="E41" s="11">
        <f>IF(ISNUMBER(C41),IF(ISNUMBER(D41),C41*D41,0),0)</f>
        <v>1800000.0</v>
      </c>
      <c r="F41" s="12" t="s">
        <v>116</v>
      </c>
      <c r="G41" s="7" t="s">
        <v>21</v>
      </c>
      <c r="H41" s="12" t="s">
        <v>117</v>
      </c>
    </row>
    <row r="42" spans="8:8">
      <c r="A42" s="7">
        <v>33.0</v>
      </c>
      <c r="B42" s="8" t="s">
        <v>118</v>
      </c>
      <c r="C42" s="9">
        <v>6.0</v>
      </c>
      <c r="D42" s="10">
        <v>135000.0</v>
      </c>
      <c r="E42" s="11">
        <f>IF(ISNUMBER(C42),IF(ISNUMBER(D42),C42*D42,0),0)</f>
        <v>810000.0</v>
      </c>
      <c r="F42" s="12" t="s">
        <v>119</v>
      </c>
      <c r="G42" s="7" t="s">
        <v>21</v>
      </c>
      <c r="H42" s="12" t="s">
        <v>120</v>
      </c>
    </row>
    <row r="43" spans="8:8">
      <c r="A43" s="7">
        <v>34.0</v>
      </c>
      <c r="B43" s="8" t="s">
        <v>121</v>
      </c>
      <c r="C43" s="9">
        <v>4.0</v>
      </c>
      <c r="D43" s="10">
        <v>50000.0</v>
      </c>
      <c r="E43" s="11">
        <f>IF(ISNUMBER(C43),IF(ISNUMBER(D43),C43*D43,0),0)</f>
        <v>200000.0</v>
      </c>
      <c r="F43" s="12" t="s">
        <v>122</v>
      </c>
      <c r="G43" s="7" t="s">
        <v>21</v>
      </c>
      <c r="H43" s="12" t="s">
        <v>123</v>
      </c>
    </row>
    <row r="44" spans="8:8">
      <c r="A44" s="7">
        <v>35.0</v>
      </c>
      <c r="B44" s="8" t="s">
        <v>124</v>
      </c>
      <c r="C44" s="9">
        <v>0.0</v>
      </c>
      <c r="D44" s="13" t="s">
        <v>27</v>
      </c>
      <c r="E44" s="11">
        <f>IF(ISNUMBER(C44),IF(ISNUMBER(D44),C44*D44,0),0)</f>
        <v>0.0</v>
      </c>
      <c r="F44" s="12" t="s">
        <v>125</v>
      </c>
      <c r="G44" s="7" t="s">
        <v>29</v>
      </c>
      <c r="H44" s="12" t="s">
        <v>126</v>
      </c>
    </row>
    <row r="45" spans="8:8">
      <c r="A45" s="7">
        <v>36.0</v>
      </c>
      <c r="B45" s="8" t="s">
        <v>127</v>
      </c>
      <c r="C45" s="9">
        <v>2.0</v>
      </c>
      <c r="D45" s="10">
        <v>600000.0</v>
      </c>
      <c r="E45" s="11">
        <f>IF(ISNUMBER(C45),IF(ISNUMBER(D45),C45*D45,0),0)</f>
        <v>1200000.0</v>
      </c>
      <c r="F45" s="12" t="s">
        <v>128</v>
      </c>
      <c r="G45" s="7" t="s">
        <v>21</v>
      </c>
      <c r="H45" s="12" t="s">
        <v>129</v>
      </c>
    </row>
    <row r="46" spans="8:8">
      <c r="A46" s="7">
        <v>37.0</v>
      </c>
      <c r="B46" s="8" t="s">
        <v>130</v>
      </c>
      <c r="C46" s="9">
        <v>2.0</v>
      </c>
      <c r="D46" s="10">
        <v>1100000.0</v>
      </c>
      <c r="E46" s="11">
        <f>IF(ISNUMBER(C46),IF(ISNUMBER(D46),C46*D46,0),0)</f>
        <v>2200000.0</v>
      </c>
      <c r="F46" s="12" t="s">
        <v>131</v>
      </c>
      <c r="G46" s="7" t="s">
        <v>21</v>
      </c>
      <c r="H46" s="12" t="s">
        <v>132</v>
      </c>
    </row>
    <row r="47" spans="8:8">
      <c r="A47" s="7">
        <v>38.0</v>
      </c>
      <c r="B47" s="8" t="s">
        <v>133</v>
      </c>
      <c r="C47" s="9">
        <v>2.0</v>
      </c>
      <c r="D47" s="10">
        <v>700000.0</v>
      </c>
      <c r="E47" s="11">
        <f>IF(ISNUMBER(C47),IF(ISNUMBER(D47),C47*D47,0),0)</f>
        <v>1400000.0</v>
      </c>
      <c r="F47" s="12" t="s">
        <v>134</v>
      </c>
      <c r="G47" s="7" t="s">
        <v>21</v>
      </c>
      <c r="H47" s="12" t="s">
        <v>135</v>
      </c>
    </row>
    <row r="48" spans="8:8">
      <c r="A48" s="7">
        <v>39.0</v>
      </c>
      <c r="B48" s="8" t="s">
        <v>136</v>
      </c>
      <c r="C48" s="9">
        <v>0.0</v>
      </c>
      <c r="D48" s="13" t="s">
        <v>27</v>
      </c>
      <c r="E48" s="11">
        <f>IF(ISNUMBER(C48),IF(ISNUMBER(D48),C48*D48,0),0)</f>
        <v>0.0</v>
      </c>
      <c r="F48" s="12" t="s">
        <v>137</v>
      </c>
      <c r="G48" s="7" t="s">
        <v>29</v>
      </c>
      <c r="H48" s="12" t="s">
        <v>138</v>
      </c>
    </row>
    <row r="49" spans="8:8">
      <c r="A49" s="7">
        <v>40.0</v>
      </c>
      <c r="B49" s="8" t="s">
        <v>139</v>
      </c>
      <c r="C49" s="9">
        <v>2.0</v>
      </c>
      <c r="D49" s="10">
        <v>600000.0</v>
      </c>
      <c r="E49" s="11">
        <f>IF(ISNUMBER(C49),IF(ISNUMBER(D49),C49*D49,0),0)</f>
        <v>1200000.0</v>
      </c>
      <c r="F49" s="12" t="s">
        <v>140</v>
      </c>
      <c r="G49" s="7" t="s">
        <v>21</v>
      </c>
      <c r="H49" s="12" t="s">
        <v>141</v>
      </c>
    </row>
    <row r="50" spans="8:8">
      <c r="A50" s="7">
        <v>41.0</v>
      </c>
      <c r="B50" s="8" t="s">
        <v>142</v>
      </c>
      <c r="C50" s="9">
        <v>3.0</v>
      </c>
      <c r="D50" s="10">
        <v>3000000.0</v>
      </c>
      <c r="E50" s="11">
        <f>IF(ISNUMBER(C50),IF(ISNUMBER(D50),C50*D50,0),0)</f>
        <v>9000000.0</v>
      </c>
      <c r="F50" s="12" t="s">
        <v>143</v>
      </c>
      <c r="G50" s="7" t="s">
        <v>21</v>
      </c>
      <c r="H50" s="12" t="s">
        <v>144</v>
      </c>
    </row>
    <row r="51" spans="8:8">
      <c r="A51" s="7">
        <v>42.0</v>
      </c>
      <c r="B51" s="8" t="s">
        <v>145</v>
      </c>
      <c r="C51" s="9">
        <v>0.0</v>
      </c>
      <c r="D51" s="13" t="s">
        <v>27</v>
      </c>
      <c r="E51" s="11">
        <f>IF(ISNUMBER(C51),IF(ISNUMBER(D51),C51*D51,0),0)</f>
        <v>0.0</v>
      </c>
      <c r="F51" s="12" t="s">
        <v>146</v>
      </c>
      <c r="G51" s="7" t="s">
        <v>29</v>
      </c>
      <c r="H51" s="12" t="s">
        <v>147</v>
      </c>
    </row>
    <row r="52" spans="8:8">
      <c r="A52" s="7">
        <v>43.0</v>
      </c>
      <c r="B52" s="8" t="s">
        <v>148</v>
      </c>
      <c r="C52" s="9">
        <v>2.0</v>
      </c>
      <c r="D52" s="10">
        <v>600000.0</v>
      </c>
      <c r="E52" s="11">
        <f>IF(ISNUMBER(C52),IF(ISNUMBER(D52),C52*D52,0),0)</f>
        <v>1200000.0</v>
      </c>
      <c r="F52" s="12" t="s">
        <v>149</v>
      </c>
      <c r="G52" s="7" t="s">
        <v>21</v>
      </c>
      <c r="H52" s="12" t="s">
        <v>150</v>
      </c>
    </row>
    <row r="53" spans="8:8">
      <c r="A53" s="7">
        <v>44.0</v>
      </c>
      <c r="B53" s="8" t="s">
        <v>151</v>
      </c>
      <c r="C53" s="9">
        <v>10.0</v>
      </c>
      <c r="D53" s="10">
        <v>760000.0</v>
      </c>
      <c r="E53" s="11">
        <f>IF(ISNUMBER(C53),IF(ISNUMBER(D53),C53*D53,0),0)</f>
        <v>7600000.0</v>
      </c>
      <c r="F53" s="12" t="s">
        <v>152</v>
      </c>
      <c r="G53" s="7" t="s">
        <v>21</v>
      </c>
      <c r="H53" s="12" t="s">
        <v>153</v>
      </c>
    </row>
    <row r="54" spans="8:8">
      <c r="A54" s="7">
        <v>45.0</v>
      </c>
      <c r="B54" s="8" t="s">
        <v>154</v>
      </c>
      <c r="C54" s="9">
        <v>5.0</v>
      </c>
      <c r="D54" s="10">
        <v>2000000.0</v>
      </c>
      <c r="E54" s="11">
        <f>IF(ISNUMBER(C54),IF(ISNUMBER(D54),C54*D54,0),0)</f>
        <v>1.0E7</v>
      </c>
      <c r="F54" s="12" t="s">
        <v>155</v>
      </c>
      <c r="G54" s="7" t="s">
        <v>21</v>
      </c>
      <c r="H54" s="12" t="s">
        <v>156</v>
      </c>
    </row>
    <row r="55" spans="8:8">
      <c r="A55" s="7">
        <v>46.0</v>
      </c>
      <c r="B55" s="8" t="s">
        <v>157</v>
      </c>
      <c r="C55" s="9">
        <v>0.0</v>
      </c>
      <c r="D55" s="13" t="s">
        <v>27</v>
      </c>
      <c r="E55" s="11">
        <f>IF(ISNUMBER(C55),IF(ISNUMBER(D55),C55*D55,0),0)</f>
        <v>0.0</v>
      </c>
      <c r="F55" s="12" t="s">
        <v>158</v>
      </c>
      <c r="G55" s="7" t="s">
        <v>29</v>
      </c>
      <c r="H55" s="12" t="s">
        <v>159</v>
      </c>
    </row>
    <row r="56" spans="8:8">
      <c r="A56" s="7">
        <v>47.0</v>
      </c>
      <c r="B56" s="8" t="s">
        <v>160</v>
      </c>
      <c r="C56" s="9">
        <v>1.0</v>
      </c>
      <c r="D56" s="10">
        <v>1500000.0</v>
      </c>
      <c r="E56" s="11">
        <f>IF(ISNUMBER(C56),IF(ISNUMBER(D56),C56*D56,0),0)</f>
        <v>1500000.0</v>
      </c>
      <c r="F56" s="12" t="s">
        <v>161</v>
      </c>
      <c r="G56" s="7" t="s">
        <v>21</v>
      </c>
      <c r="H56" s="12" t="s">
        <v>162</v>
      </c>
    </row>
    <row r="57" spans="8:8">
      <c r="A57" s="7">
        <v>48.0</v>
      </c>
      <c r="B57" s="8" t="s">
        <v>163</v>
      </c>
      <c r="C57" s="9">
        <v>1.0</v>
      </c>
      <c r="D57" s="10">
        <v>7000000.0</v>
      </c>
      <c r="E57" s="11">
        <f>IF(ISNUMBER(C57),IF(ISNUMBER(D57),C57*D57,0),0)</f>
        <v>7000000.0</v>
      </c>
      <c r="F57" s="12" t="s">
        <v>164</v>
      </c>
      <c r="G57" s="7" t="s">
        <v>21</v>
      </c>
      <c r="H57" s="12" t="s">
        <v>165</v>
      </c>
    </row>
    <row r="58" spans="8:8">
      <c r="A58" s="7">
        <v>49.0</v>
      </c>
      <c r="B58" s="8" t="s">
        <v>166</v>
      </c>
      <c r="C58" s="9">
        <v>0.0</v>
      </c>
      <c r="D58" s="13" t="s">
        <v>27</v>
      </c>
      <c r="E58" s="11">
        <f>IF(ISNUMBER(C58),IF(ISNUMBER(D58),C58*D58,0),0)</f>
        <v>0.0</v>
      </c>
      <c r="F58" s="12" t="s">
        <v>167</v>
      </c>
      <c r="G58" s="7" t="s">
        <v>29</v>
      </c>
      <c r="H58" s="12" t="s">
        <v>168</v>
      </c>
    </row>
    <row r="59" spans="8:8">
      <c r="A59" s="7">
        <v>50.0</v>
      </c>
      <c r="B59" s="8" t="s">
        <v>169</v>
      </c>
      <c r="C59" s="9">
        <v>2.0</v>
      </c>
      <c r="D59" s="10">
        <v>1300000.0</v>
      </c>
      <c r="E59" s="11">
        <f>IF(ISNUMBER(C59),IF(ISNUMBER(D59),C59*D59,0),0)</f>
        <v>2600000.0</v>
      </c>
      <c r="F59" s="12" t="s">
        <v>170</v>
      </c>
      <c r="G59" s="7" t="s">
        <v>21</v>
      </c>
      <c r="H59" s="12" t="s">
        <v>171</v>
      </c>
    </row>
    <row r="60" spans="8:8">
      <c r="A60" s="7">
        <v>51.0</v>
      </c>
      <c r="B60" s="8" t="s">
        <v>172</v>
      </c>
      <c r="C60" s="9">
        <v>2.0</v>
      </c>
      <c r="D60" s="10">
        <v>300000.0</v>
      </c>
      <c r="E60" s="11">
        <f>IF(ISNUMBER(C60),IF(ISNUMBER(D60),C60*D60,0),0)</f>
        <v>600000.0</v>
      </c>
      <c r="F60" s="12" t="s">
        <v>173</v>
      </c>
      <c r="G60" s="7" t="s">
        <v>21</v>
      </c>
      <c r="H60" s="12" t="s">
        <v>174</v>
      </c>
    </row>
    <row r="61" spans="8:8">
      <c r="A61" s="7">
        <v>52.0</v>
      </c>
      <c r="B61" s="8" t="s">
        <v>175</v>
      </c>
      <c r="C61" s="9">
        <v>2.0</v>
      </c>
      <c r="D61" s="10">
        <v>300000.0</v>
      </c>
      <c r="E61" s="11">
        <f>IF(ISNUMBER(C61),IF(ISNUMBER(D61),C61*D61,0),0)</f>
        <v>600000.0</v>
      </c>
      <c r="F61" s="12" t="s">
        <v>176</v>
      </c>
      <c r="G61" s="7" t="s">
        <v>21</v>
      </c>
      <c r="H61" s="12" t="s">
        <v>177</v>
      </c>
    </row>
    <row r="62" spans="8:8">
      <c r="A62" s="7">
        <v>53.0</v>
      </c>
      <c r="B62" s="8" t="s">
        <v>178</v>
      </c>
      <c r="C62" s="9">
        <v>2.0</v>
      </c>
      <c r="D62" s="10">
        <v>1500000.0</v>
      </c>
      <c r="E62" s="11">
        <f>IF(ISNUMBER(C62),IF(ISNUMBER(D62),C62*D62,0),0)</f>
        <v>3000000.0</v>
      </c>
      <c r="F62" s="12" t="s">
        <v>179</v>
      </c>
      <c r="G62" s="7" t="s">
        <v>21</v>
      </c>
      <c r="H62" s="12" t="s">
        <v>180</v>
      </c>
    </row>
    <row r="63" spans="8:8">
      <c r="A63" s="7">
        <v>54.0</v>
      </c>
      <c r="B63" s="8" t="s">
        <v>181</v>
      </c>
      <c r="C63" s="9">
        <v>1.0</v>
      </c>
      <c r="D63" s="10">
        <v>450000.0</v>
      </c>
      <c r="E63" s="11">
        <f>IF(ISNUMBER(C63),IF(ISNUMBER(D63),C63*D63,0),0)</f>
        <v>450000.0</v>
      </c>
      <c r="F63" s="12" t="s">
        <v>182</v>
      </c>
      <c r="G63" s="7" t="s">
        <v>21</v>
      </c>
      <c r="H63" s="12" t="s">
        <v>183</v>
      </c>
    </row>
    <row r="64" spans="8:8">
      <c r="A64" s="7">
        <v>55.0</v>
      </c>
      <c r="B64" s="8" t="s">
        <v>184</v>
      </c>
      <c r="C64" s="9">
        <v>4.0</v>
      </c>
      <c r="D64" s="10">
        <v>4000000.0</v>
      </c>
      <c r="E64" s="11">
        <f>IF(ISNUMBER(C64),IF(ISNUMBER(D64),C64*D64,0),0)</f>
        <v>1.6E7</v>
      </c>
      <c r="F64" s="12" t="s">
        <v>185</v>
      </c>
      <c r="G64" s="7" t="s">
        <v>21</v>
      </c>
      <c r="H64" s="12" t="s">
        <v>186</v>
      </c>
    </row>
    <row r="65" spans="8:8">
      <c r="A65" s="7">
        <v>56.0</v>
      </c>
      <c r="B65" s="8" t="s">
        <v>187</v>
      </c>
      <c r="C65" s="9">
        <v>4.0</v>
      </c>
      <c r="D65" s="10">
        <v>800000.0</v>
      </c>
      <c r="E65" s="11">
        <f>IF(ISNUMBER(C65),IF(ISNUMBER(D65),C65*D65,0),0)</f>
        <v>3200000.0</v>
      </c>
      <c r="F65" s="12" t="s">
        <v>188</v>
      </c>
      <c r="G65" s="7" t="s">
        <v>21</v>
      </c>
      <c r="H65" s="12" t="s">
        <v>189</v>
      </c>
    </row>
    <row r="66" spans="8:8">
      <c r="A66" s="7">
        <v>57.0</v>
      </c>
      <c r="B66" s="8" t="s">
        <v>190</v>
      </c>
      <c r="C66" s="9">
        <v>6.0</v>
      </c>
      <c r="D66" s="10">
        <v>50000.0</v>
      </c>
      <c r="E66" s="11">
        <f>IF(ISNUMBER(C66),IF(ISNUMBER(D66),C66*D66,0),0)</f>
        <v>300000.0</v>
      </c>
      <c r="F66" s="12" t="s">
        <v>191</v>
      </c>
      <c r="G66" s="7" t="s">
        <v>21</v>
      </c>
      <c r="H66" s="12" t="s">
        <v>192</v>
      </c>
    </row>
    <row r="67" spans="8:8">
      <c r="A67" s="7">
        <v>58.0</v>
      </c>
      <c r="B67" s="8" t="s">
        <v>193</v>
      </c>
      <c r="C67" s="9">
        <v>5.0</v>
      </c>
      <c r="D67" s="10">
        <v>750000.0</v>
      </c>
      <c r="E67" s="11">
        <f>IF(ISNUMBER(C67),IF(ISNUMBER(D67),C67*D67,0),0)</f>
        <v>3750000.0</v>
      </c>
      <c r="F67" s="12" t="s">
        <v>194</v>
      </c>
      <c r="G67" s="7" t="s">
        <v>21</v>
      </c>
      <c r="H67" s="12" t="s">
        <v>195</v>
      </c>
    </row>
    <row r="68" spans="8:8">
      <c r="A68" s="7">
        <v>59.0</v>
      </c>
      <c r="B68" s="8" t="s">
        <v>196</v>
      </c>
      <c r="C68" s="9">
        <v>3.0</v>
      </c>
      <c r="D68" s="10">
        <v>1000000.0</v>
      </c>
      <c r="E68" s="11">
        <f>IF(ISNUMBER(C68),IF(ISNUMBER(D68),C68*D68,0),0)</f>
        <v>3000000.0</v>
      </c>
      <c r="F68" s="12" t="s">
        <v>197</v>
      </c>
      <c r="G68" s="7" t="s">
        <v>21</v>
      </c>
      <c r="H68" s="12" t="s">
        <v>198</v>
      </c>
    </row>
    <row r="69" spans="8:8">
      <c r="A69" s="7">
        <v>60.0</v>
      </c>
      <c r="B69" s="8" t="s">
        <v>199</v>
      </c>
      <c r="C69" s="9">
        <v>3.0</v>
      </c>
      <c r="D69" s="10">
        <v>1500000.0</v>
      </c>
      <c r="E69" s="11">
        <f>IF(ISNUMBER(C69),IF(ISNUMBER(D69),C69*D69,0),0)</f>
        <v>4500000.0</v>
      </c>
      <c r="F69" s="12" t="s">
        <v>200</v>
      </c>
      <c r="G69" s="7" t="s">
        <v>21</v>
      </c>
      <c r="H69" s="12" t="s">
        <v>201</v>
      </c>
    </row>
    <row r="70" spans="8:8">
      <c r="A70" s="7">
        <v>61.0</v>
      </c>
      <c r="B70" s="8" t="s">
        <v>202</v>
      </c>
      <c r="C70" s="9">
        <v>3.0</v>
      </c>
      <c r="D70" s="10">
        <v>400000.0</v>
      </c>
      <c r="E70" s="11">
        <f>IF(ISNUMBER(C70),IF(ISNUMBER(D70),C70*D70,0),0)</f>
        <v>1200000.0</v>
      </c>
      <c r="F70" s="12" t="s">
        <v>203</v>
      </c>
      <c r="G70" s="7" t="s">
        <v>21</v>
      </c>
      <c r="H70" s="12" t="s">
        <v>204</v>
      </c>
    </row>
    <row r="71" spans="8:8">
      <c r="A71" s="7">
        <v>62.0</v>
      </c>
      <c r="B71" s="8" t="s">
        <v>205</v>
      </c>
      <c r="C71" s="9">
        <v>4.0</v>
      </c>
      <c r="D71" s="10">
        <v>400000.0</v>
      </c>
      <c r="E71" s="11">
        <f>IF(ISNUMBER(C71),IF(ISNUMBER(D71),C71*D71,0),0)</f>
        <v>1600000.0</v>
      </c>
      <c r="F71" s="12" t="s">
        <v>206</v>
      </c>
      <c r="G71" s="7" t="s">
        <v>21</v>
      </c>
      <c r="H71" s="12" t="s">
        <v>207</v>
      </c>
    </row>
    <row r="72" spans="8:8">
      <c r="A72" s="7">
        <v>63.0</v>
      </c>
      <c r="B72" s="8" t="s">
        <v>208</v>
      </c>
      <c r="C72" s="9">
        <v>1.0</v>
      </c>
      <c r="D72" s="10">
        <v>500000.0</v>
      </c>
      <c r="E72" s="11">
        <f>IF(ISNUMBER(C72),IF(ISNUMBER(D72),C72*D72,0),0)</f>
        <v>500000.0</v>
      </c>
      <c r="F72" s="12" t="s">
        <v>209</v>
      </c>
      <c r="G72" s="7" t="s">
        <v>21</v>
      </c>
      <c r="H72" s="12" t="s">
        <v>210</v>
      </c>
    </row>
    <row r="73" spans="8:8">
      <c r="A73" s="7">
        <v>64.0</v>
      </c>
      <c r="B73" s="8" t="s">
        <v>211</v>
      </c>
      <c r="C73" s="9">
        <v>3.0</v>
      </c>
      <c r="D73" s="10">
        <v>15000.0</v>
      </c>
      <c r="E73" s="11">
        <f>IF(ISNUMBER(C73),IF(ISNUMBER(D73),C73*D73,0),0)</f>
        <v>45000.0</v>
      </c>
      <c r="F73" s="12" t="s">
        <v>212</v>
      </c>
      <c r="G73" s="7" t="s">
        <v>21</v>
      </c>
      <c r="H73" s="12" t="s">
        <v>213</v>
      </c>
    </row>
    <row r="74" spans="8:8">
      <c r="A74" s="7">
        <v>65.0</v>
      </c>
      <c r="B74" s="8" t="s">
        <v>214</v>
      </c>
      <c r="C74" s="9">
        <v>2.0</v>
      </c>
      <c r="D74" s="10">
        <v>30000.0</v>
      </c>
      <c r="E74" s="11">
        <f>IF(ISNUMBER(C74),IF(ISNUMBER(D74),C74*D74,0),0)</f>
        <v>60000.0</v>
      </c>
      <c r="F74" s="12" t="s">
        <v>215</v>
      </c>
      <c r="G74" s="7" t="s">
        <v>21</v>
      </c>
      <c r="H74" s="12" t="s">
        <v>216</v>
      </c>
    </row>
    <row r="75" spans="8:8">
      <c r="A75" s="7">
        <v>66.0</v>
      </c>
      <c r="B75" s="8" t="s">
        <v>217</v>
      </c>
      <c r="C75" s="9">
        <v>2.0</v>
      </c>
      <c r="D75" s="10">
        <v>3000000.0</v>
      </c>
      <c r="E75" s="11">
        <f>IF(ISNUMBER(C75),IF(ISNUMBER(D75),C75*D75,0),0)</f>
        <v>6000000.0</v>
      </c>
      <c r="F75" s="12" t="s">
        <v>218</v>
      </c>
      <c r="G75" s="7" t="s">
        <v>21</v>
      </c>
      <c r="H75" s="12" t="s">
        <v>219</v>
      </c>
    </row>
    <row r="76" spans="8:8">
      <c r="A76" s="7">
        <v>67.0</v>
      </c>
      <c r="B76" s="8" t="s">
        <v>220</v>
      </c>
      <c r="C76" s="9">
        <v>2.0</v>
      </c>
      <c r="D76" s="10">
        <v>1200000.0</v>
      </c>
      <c r="E76" s="11">
        <f>IF(ISNUMBER(C76),IF(ISNUMBER(D76),C76*D76,0),0)</f>
        <v>2400000.0</v>
      </c>
      <c r="F76" s="12" t="s">
        <v>221</v>
      </c>
      <c r="G76" s="7" t="s">
        <v>21</v>
      </c>
      <c r="H76" s="12" t="s">
        <v>222</v>
      </c>
    </row>
    <row r="77" spans="8:8">
      <c r="A77" s="7">
        <v>68.0</v>
      </c>
      <c r="B77" s="8" t="s">
        <v>223</v>
      </c>
      <c r="C77" s="9">
        <v>1.0</v>
      </c>
      <c r="D77" s="10">
        <v>2700000.0</v>
      </c>
      <c r="E77" s="11">
        <f>IF(ISNUMBER(C77),IF(ISNUMBER(D77),C77*D77,0),0)</f>
        <v>2700000.0</v>
      </c>
      <c r="F77" s="12" t="s">
        <v>224</v>
      </c>
      <c r="G77" s="7" t="s">
        <v>21</v>
      </c>
      <c r="H77" s="12" t="s">
        <v>225</v>
      </c>
    </row>
    <row r="78" spans="8:8">
      <c r="A78" s="7">
        <v>69.0</v>
      </c>
      <c r="B78" s="8" t="s">
        <v>226</v>
      </c>
      <c r="C78" s="9">
        <v>0.0</v>
      </c>
      <c r="D78" s="13" t="s">
        <v>27</v>
      </c>
      <c r="E78" s="11">
        <f>IF(ISNUMBER(C78),IF(ISNUMBER(D78),C78*D78,0),0)</f>
        <v>0.0</v>
      </c>
      <c r="F78" s="12" t="s">
        <v>227</v>
      </c>
      <c r="G78" s="7" t="s">
        <v>29</v>
      </c>
      <c r="H78" s="12" t="s">
        <v>228</v>
      </c>
    </row>
    <row r="79" spans="8:8">
      <c r="A79" s="14"/>
      <c r="B79" s="15" t="s">
        <v>229</v>
      </c>
      <c r="C79" s="16">
        <f>SUM(C10:C78)</f>
        <v>159.0</v>
      </c>
      <c r="D79" s="14"/>
      <c r="E79" s="17">
        <f>SUM(E10:E78)</f>
        <v>1.34795E8</v>
      </c>
      <c r="F79" s="14"/>
      <c r="G79" s="14"/>
      <c r="H79" s="14"/>
    </row>
  </sheetData>
  <mergeCells count="1">
    <mergeCell ref="A1:H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2026-09-03T08:57:52Z</dcterms:created>
  <dcterms:modified xsi:type="dcterms:W3CDTF">2026-09-03T11:58:18Z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70bc78efd70543ac882c8aa67f6d72ec</vt:lpwstr>
  </property>
</Properties>
</file>